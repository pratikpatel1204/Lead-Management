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D:\AARYAJEET SURYA 3\0 GCF DRAWING\PLUMBING AND FIRE GFC\BOQ PLUMBING AND FIRE\20251003_SURYA APARTMENT_PLU BOQ &amp; TENDER DOCUMENTS\"/>
    </mc:Choice>
  </mc:AlternateContent>
  <xr:revisionPtr revIDLastSave="0" documentId="13_ncr:1_{32789BFC-97E3-44D8-A692-71D75620E4D5}" xr6:coauthVersionLast="47" xr6:coauthVersionMax="47" xr10:uidLastSave="{00000000-0000-0000-0000-000000000000}"/>
  <bookViews>
    <workbookView xWindow="-120" yWindow="-120" windowWidth="29040" windowHeight="15720" xr2:uid="{00000000-000D-0000-FFFF-FFFF00000000}"/>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92" i="1" l="1"/>
  <c r="E686" i="1"/>
  <c r="E685" i="1"/>
  <c r="G684" i="1"/>
  <c r="E684" i="1"/>
  <c r="G683" i="1"/>
  <c r="A683" i="1"/>
  <c r="G682" i="1"/>
  <c r="E682" i="1"/>
  <c r="E681" i="1"/>
  <c r="G681" i="1" s="1"/>
  <c r="A681" i="1"/>
  <c r="G680" i="1"/>
  <c r="E680" i="1"/>
  <c r="E679" i="1"/>
  <c r="G679" i="1" s="1"/>
  <c r="A679" i="1"/>
  <c r="E678" i="1"/>
  <c r="G678" i="1" s="1"/>
  <c r="A678" i="1"/>
  <c r="G677" i="1"/>
  <c r="E677" i="1"/>
  <c r="A677" i="1"/>
  <c r="G676" i="1"/>
  <c r="E676" i="1"/>
  <c r="A676" i="1"/>
  <c r="E675" i="1"/>
  <c r="G675" i="1" s="1"/>
  <c r="G674" i="1"/>
  <c r="E674" i="1"/>
  <c r="G673" i="1"/>
  <c r="E673" i="1"/>
  <c r="A673" i="1"/>
  <c r="E672" i="1"/>
  <c r="G672" i="1" s="1"/>
  <c r="A672" i="1"/>
  <c r="G671" i="1"/>
  <c r="E671" i="1"/>
  <c r="A671" i="1"/>
  <c r="E670" i="1"/>
  <c r="G670" i="1" s="1"/>
  <c r="A670" i="1"/>
  <c r="G669" i="1"/>
  <c r="E669" i="1"/>
  <c r="A669" i="1"/>
  <c r="E668" i="1"/>
  <c r="G668" i="1" s="1"/>
  <c r="A668" i="1"/>
  <c r="G667" i="1"/>
  <c r="E667" i="1"/>
  <c r="A667" i="1"/>
  <c r="E666" i="1"/>
  <c r="G666" i="1" s="1"/>
  <c r="A666" i="1"/>
  <c r="G665" i="1"/>
  <c r="E665" i="1"/>
  <c r="A665" i="1"/>
  <c r="E664" i="1"/>
  <c r="G664" i="1" s="1"/>
  <c r="A664" i="1"/>
  <c r="G663" i="1"/>
  <c r="E663" i="1"/>
  <c r="E662" i="1"/>
  <c r="G662" i="1" s="1"/>
  <c r="G661" i="1"/>
  <c r="E661" i="1"/>
  <c r="A661" i="1"/>
  <c r="E660" i="1"/>
  <c r="G660" i="1" s="1"/>
  <c r="A660" i="1"/>
  <c r="G659" i="1"/>
  <c r="E659" i="1"/>
  <c r="G658" i="1"/>
  <c r="E658" i="1"/>
  <c r="E657" i="1"/>
  <c r="G657" i="1" s="1"/>
  <c r="A657" i="1"/>
  <c r="E656" i="1"/>
  <c r="G656" i="1" s="1"/>
  <c r="A656" i="1"/>
  <c r="G655" i="1"/>
  <c r="E655" i="1"/>
  <c r="A655" i="1"/>
  <c r="G654" i="1"/>
  <c r="E654" i="1"/>
  <c r="A654" i="1"/>
  <c r="E653" i="1"/>
  <c r="G653" i="1" s="1"/>
  <c r="A653" i="1"/>
  <c r="E652" i="1"/>
  <c r="G652" i="1" s="1"/>
  <c r="A652" i="1"/>
  <c r="G651" i="1"/>
  <c r="E651" i="1"/>
  <c r="G650" i="1"/>
  <c r="E650" i="1"/>
  <c r="E649" i="1"/>
  <c r="A649" i="1"/>
  <c r="E648" i="1"/>
  <c r="A648" i="1"/>
  <c r="E647" i="1"/>
  <c r="A647" i="1"/>
  <c r="E646" i="1"/>
  <c r="A646" i="1"/>
  <c r="E645" i="1"/>
  <c r="A645" i="1"/>
  <c r="E644" i="1"/>
  <c r="E643" i="1"/>
  <c r="E642" i="1"/>
  <c r="E641" i="1"/>
  <c r="G641" i="1" s="1"/>
  <c r="A641" i="1"/>
  <c r="E640" i="1"/>
  <c r="E639" i="1"/>
  <c r="E638" i="1"/>
  <c r="E637" i="1"/>
  <c r="E636" i="1"/>
  <c r="G636" i="1" s="1"/>
  <c r="A636" i="1"/>
  <c r="G635" i="1"/>
  <c r="E635" i="1"/>
  <c r="A635" i="1"/>
  <c r="E634" i="1"/>
  <c r="G634" i="1" s="1"/>
  <c r="A634" i="1"/>
  <c r="G633" i="1"/>
  <c r="E633" i="1"/>
  <c r="A633" i="1"/>
  <c r="E632" i="1"/>
  <c r="G632" i="1" s="1"/>
  <c r="A632" i="1"/>
  <c r="G631" i="1"/>
  <c r="E631" i="1"/>
  <c r="A631" i="1"/>
  <c r="E630" i="1"/>
  <c r="G630" i="1" s="1"/>
  <c r="A630" i="1"/>
  <c r="G629" i="1"/>
  <c r="E629" i="1"/>
  <c r="A629" i="1"/>
  <c r="E628" i="1"/>
  <c r="G628" i="1" s="1"/>
  <c r="A628" i="1"/>
  <c r="E627" i="1"/>
  <c r="A627" i="1"/>
  <c r="E626" i="1"/>
  <c r="A626" i="1"/>
  <c r="E625" i="1"/>
  <c r="E623" i="1"/>
  <c r="E622" i="1"/>
  <c r="E621" i="1"/>
  <c r="E619" i="1"/>
  <c r="G619" i="1" s="1"/>
  <c r="G618" i="1"/>
  <c r="G621" i="1" s="1"/>
  <c r="E618" i="1"/>
  <c r="E617" i="1"/>
  <c r="E616" i="1"/>
  <c r="E615" i="1"/>
  <c r="A615" i="1"/>
  <c r="E613" i="1"/>
  <c r="E612" i="1"/>
  <c r="E611" i="1"/>
  <c r="E610" i="1"/>
  <c r="G610" i="1" s="1"/>
  <c r="G609" i="1"/>
  <c r="E609" i="1"/>
  <c r="A609" i="1"/>
  <c r="E608" i="1"/>
  <c r="G608" i="1" s="1"/>
  <c r="G607" i="1"/>
  <c r="A607" i="1"/>
  <c r="G606" i="1"/>
  <c r="E606" i="1"/>
  <c r="A606" i="1"/>
  <c r="G605" i="1"/>
  <c r="A605" i="1"/>
  <c r="G604" i="1"/>
  <c r="E604" i="1"/>
  <c r="A604" i="1"/>
  <c r="G603" i="1"/>
  <c r="G602" i="1"/>
  <c r="G601" i="1"/>
  <c r="G600" i="1"/>
  <c r="G599" i="1"/>
  <c r="G598" i="1"/>
  <c r="G597" i="1"/>
  <c r="G596" i="1"/>
  <c r="G595" i="1"/>
  <c r="G594" i="1"/>
  <c r="G593" i="1"/>
  <c r="G592" i="1"/>
  <c r="G591" i="1"/>
  <c r="G590" i="1"/>
  <c r="G589" i="1"/>
  <c r="G588" i="1"/>
  <c r="G587" i="1"/>
  <c r="G586" i="1"/>
  <c r="E585" i="1"/>
  <c r="G585" i="1" s="1"/>
  <c r="A585" i="1"/>
  <c r="G584" i="1"/>
  <c r="E584" i="1"/>
  <c r="A584" i="1"/>
  <c r="G583" i="1"/>
  <c r="G582" i="1"/>
  <c r="G581" i="1"/>
  <c r="G580" i="1"/>
  <c r="E580" i="1"/>
  <c r="E579" i="1"/>
  <c r="G579" i="1" s="1"/>
  <c r="E578" i="1"/>
  <c r="G578" i="1" s="1"/>
  <c r="A578" i="1"/>
  <c r="E577" i="1"/>
  <c r="G577" i="1" s="1"/>
  <c r="A577" i="1"/>
  <c r="E576" i="1"/>
  <c r="G576" i="1" s="1"/>
  <c r="A576" i="1"/>
  <c r="G575" i="1"/>
  <c r="E575" i="1"/>
  <c r="A575" i="1"/>
  <c r="E574" i="1"/>
  <c r="G574" i="1" s="1"/>
  <c r="A574" i="1"/>
  <c r="G573" i="1"/>
  <c r="G572" i="1"/>
  <c r="G570" i="1"/>
  <c r="G569" i="1"/>
  <c r="G568" i="1"/>
  <c r="G567" i="1"/>
  <c r="G566" i="1"/>
  <c r="G565" i="1"/>
  <c r="E564" i="1"/>
  <c r="G564" i="1" s="1"/>
  <c r="A564" i="1"/>
  <c r="G563" i="1"/>
  <c r="E563" i="1"/>
  <c r="A563" i="1"/>
  <c r="E562" i="1"/>
  <c r="G562" i="1" s="1"/>
  <c r="A562" i="1"/>
  <c r="E561" i="1"/>
  <c r="E560" i="1"/>
  <c r="E559" i="1"/>
  <c r="E558" i="1"/>
  <c r="E557" i="1"/>
  <c r="G556" i="1"/>
  <c r="E556" i="1"/>
  <c r="G555" i="1"/>
  <c r="G554" i="1"/>
  <c r="G553" i="1"/>
  <c r="G552" i="1"/>
  <c r="G551" i="1"/>
  <c r="E551" i="1"/>
  <c r="G550" i="1"/>
  <c r="E549" i="1"/>
  <c r="G549" i="1" s="1"/>
  <c r="A549" i="1"/>
  <c r="G548" i="1"/>
  <c r="E548" i="1"/>
  <c r="A548" i="1"/>
  <c r="E547" i="1"/>
  <c r="G547" i="1" s="1"/>
  <c r="E546" i="1"/>
  <c r="G546" i="1" s="1"/>
  <c r="G545" i="1"/>
  <c r="E545" i="1"/>
  <c r="E544" i="1"/>
  <c r="G544" i="1" s="1"/>
  <c r="A544" i="1"/>
  <c r="G543" i="1"/>
  <c r="E543" i="1"/>
  <c r="A543" i="1"/>
  <c r="G542" i="1"/>
  <c r="E541" i="1"/>
  <c r="G541" i="1" s="1"/>
  <c r="G540" i="1"/>
  <c r="G539" i="1"/>
  <c r="E539" i="1"/>
  <c r="G538" i="1"/>
  <c r="E537" i="1"/>
  <c r="G537" i="1" s="1"/>
  <c r="A537" i="1"/>
  <c r="E536" i="1"/>
  <c r="G536" i="1" s="1"/>
  <c r="A536" i="1"/>
  <c r="E535" i="1"/>
  <c r="G535" i="1" s="1"/>
  <c r="G534" i="1"/>
  <c r="G533" i="1"/>
  <c r="E532" i="1"/>
  <c r="G532" i="1" s="1"/>
  <c r="E531" i="1"/>
  <c r="G531" i="1" s="1"/>
  <c r="G530" i="1"/>
  <c r="E530" i="1"/>
  <c r="G529" i="1"/>
  <c r="E529" i="1"/>
  <c r="A529" i="1"/>
  <c r="E528" i="1"/>
  <c r="G528" i="1" s="1"/>
  <c r="A528" i="1"/>
  <c r="G527" i="1"/>
  <c r="G526" i="1"/>
  <c r="G525" i="1"/>
  <c r="G524" i="1"/>
  <c r="G523" i="1"/>
  <c r="G522" i="1"/>
  <c r="G521" i="1"/>
  <c r="E521" i="1"/>
  <c r="A521" i="1"/>
  <c r="E520" i="1"/>
  <c r="G520" i="1" s="1"/>
  <c r="A520" i="1"/>
  <c r="E519" i="1"/>
  <c r="G519" i="1" s="1"/>
  <c r="E518" i="1"/>
  <c r="G518" i="1" s="1"/>
  <c r="G517" i="1"/>
  <c r="E517" i="1"/>
  <c r="G516" i="1"/>
  <c r="E515" i="1"/>
  <c r="G515" i="1" s="1"/>
  <c r="A515" i="1"/>
  <c r="G514" i="1"/>
  <c r="E514" i="1"/>
  <c r="A514" i="1"/>
  <c r="E513" i="1"/>
  <c r="G513" i="1" s="1"/>
  <c r="G512" i="1"/>
  <c r="G511" i="1"/>
  <c r="G510" i="1"/>
  <c r="G509" i="1"/>
  <c r="E509" i="1"/>
  <c r="E508" i="1"/>
  <c r="G508" i="1" s="1"/>
  <c r="G507" i="1"/>
  <c r="E507" i="1"/>
  <c r="E506" i="1"/>
  <c r="G506" i="1" s="1"/>
  <c r="G505" i="1"/>
  <c r="G504" i="1"/>
  <c r="E504" i="1"/>
  <c r="A504" i="1"/>
  <c r="G503" i="1"/>
  <c r="E503" i="1"/>
  <c r="A503" i="1"/>
  <c r="E502" i="1"/>
  <c r="G502" i="1" s="1"/>
  <c r="G501" i="1"/>
  <c r="E501" i="1"/>
  <c r="A501" i="1"/>
  <c r="E500" i="1"/>
  <c r="G500" i="1" s="1"/>
  <c r="G499" i="1"/>
  <c r="E499" i="1"/>
  <c r="G498" i="1"/>
  <c r="E498" i="1"/>
  <c r="E497" i="1"/>
  <c r="G497" i="1" s="1"/>
  <c r="A497" i="1"/>
  <c r="G496" i="1"/>
  <c r="E496" i="1"/>
  <c r="E495" i="1"/>
  <c r="G495" i="1" s="1"/>
  <c r="A495" i="1"/>
  <c r="E494" i="1"/>
  <c r="G494" i="1" s="1"/>
  <c r="G493" i="1"/>
  <c r="E493" i="1"/>
  <c r="E492" i="1"/>
  <c r="G492" i="1" s="1"/>
  <c r="G491" i="1"/>
  <c r="E491" i="1"/>
  <c r="E490" i="1"/>
  <c r="G490" i="1" s="1"/>
  <c r="E489" i="1"/>
  <c r="G489" i="1" s="1"/>
  <c r="A489" i="1"/>
  <c r="E488" i="1"/>
  <c r="G488" i="1" s="1"/>
  <c r="A488" i="1"/>
  <c r="E487" i="1"/>
  <c r="G487" i="1" s="1"/>
  <c r="A487" i="1"/>
  <c r="G486" i="1"/>
  <c r="E486" i="1"/>
  <c r="A486" i="1"/>
  <c r="E485" i="1"/>
  <c r="G485" i="1" s="1"/>
  <c r="A485" i="1"/>
  <c r="E484" i="1"/>
  <c r="G484" i="1" s="1"/>
  <c r="A484" i="1"/>
  <c r="E483" i="1"/>
  <c r="G483" i="1" s="1"/>
  <c r="A483" i="1"/>
  <c r="G482" i="1"/>
  <c r="E482" i="1"/>
  <c r="A482" i="1"/>
  <c r="G481" i="1"/>
  <c r="G480" i="1"/>
  <c r="G479" i="1"/>
  <c r="E478" i="1"/>
  <c r="A478" i="1"/>
  <c r="E475" i="1"/>
  <c r="A475" i="1"/>
  <c r="E474" i="1"/>
  <c r="E473" i="1"/>
  <c r="E472" i="1"/>
  <c r="E471" i="1"/>
  <c r="E470" i="1"/>
  <c r="G470" i="1" s="1"/>
  <c r="A470" i="1"/>
  <c r="E469" i="1"/>
  <c r="G469" i="1" s="1"/>
  <c r="E468" i="1"/>
  <c r="G468" i="1" s="1"/>
  <c r="A468" i="1"/>
  <c r="G467" i="1"/>
  <c r="E467" i="1"/>
  <c r="G466" i="1"/>
  <c r="G465" i="1"/>
  <c r="G464" i="1"/>
  <c r="G463" i="1"/>
  <c r="E463" i="1"/>
  <c r="A463" i="1"/>
  <c r="G462" i="1"/>
  <c r="E462" i="1"/>
  <c r="A462" i="1"/>
  <c r="G461" i="1"/>
  <c r="G460" i="1"/>
  <c r="E460" i="1"/>
  <c r="E459" i="1"/>
  <c r="G459" i="1" s="1"/>
  <c r="A459" i="1"/>
  <c r="G458" i="1"/>
  <c r="E458" i="1"/>
  <c r="A458" i="1"/>
  <c r="G457" i="1"/>
  <c r="A457" i="1"/>
  <c r="E456" i="1"/>
  <c r="G456" i="1" s="1"/>
  <c r="G455" i="1"/>
  <c r="E455" i="1"/>
  <c r="A455" i="1"/>
  <c r="E454" i="1"/>
  <c r="G454" i="1" s="1"/>
  <c r="A454" i="1"/>
  <c r="E453" i="1"/>
  <c r="G453" i="1" s="1"/>
  <c r="A453" i="1"/>
  <c r="G452" i="1"/>
  <c r="E452" i="1"/>
  <c r="E451" i="1"/>
  <c r="G451" i="1" s="1"/>
  <c r="A451" i="1"/>
  <c r="E450" i="1"/>
  <c r="G450" i="1" s="1"/>
  <c r="A450" i="1"/>
  <c r="G449" i="1"/>
  <c r="G448" i="1"/>
  <c r="G447" i="1"/>
  <c r="G446" i="1"/>
  <c r="G445" i="1"/>
  <c r="G444" i="1"/>
  <c r="G443" i="1"/>
  <c r="G442" i="1"/>
  <c r="G441" i="1"/>
  <c r="E441" i="1"/>
  <c r="A441" i="1"/>
  <c r="E440" i="1"/>
  <c r="G440" i="1" s="1"/>
  <c r="A440" i="1"/>
  <c r="E439" i="1"/>
  <c r="G439" i="1" s="1"/>
  <c r="A439" i="1"/>
  <c r="E438" i="1"/>
  <c r="G438" i="1" s="1"/>
  <c r="A438" i="1"/>
  <c r="G437" i="1"/>
  <c r="E437" i="1"/>
  <c r="A437" i="1"/>
  <c r="E436" i="1"/>
  <c r="G436" i="1" s="1"/>
  <c r="A436" i="1"/>
  <c r="E435" i="1"/>
  <c r="G435" i="1" s="1"/>
  <c r="A435" i="1"/>
  <c r="E434" i="1"/>
  <c r="G434" i="1" s="1"/>
  <c r="A434" i="1"/>
  <c r="G433" i="1"/>
  <c r="E433" i="1"/>
  <c r="A433" i="1"/>
  <c r="E432" i="1"/>
  <c r="G432" i="1" s="1"/>
  <c r="A432" i="1"/>
  <c r="E431" i="1"/>
  <c r="G431" i="1" s="1"/>
  <c r="A431" i="1"/>
  <c r="E430" i="1"/>
  <c r="G430" i="1" s="1"/>
  <c r="A430" i="1"/>
  <c r="G429" i="1"/>
  <c r="E429" i="1"/>
  <c r="A429" i="1"/>
  <c r="E428" i="1"/>
  <c r="G428" i="1" s="1"/>
  <c r="A428" i="1"/>
  <c r="E427" i="1"/>
  <c r="G427" i="1" s="1"/>
  <c r="A427" i="1"/>
  <c r="E426" i="1"/>
  <c r="G426" i="1" s="1"/>
  <c r="A426" i="1"/>
  <c r="G425" i="1"/>
  <c r="E425" i="1"/>
  <c r="A425" i="1"/>
  <c r="G424" i="1"/>
  <c r="G423" i="1"/>
  <c r="E423" i="1"/>
  <c r="G422" i="1"/>
  <c r="E421" i="1"/>
  <c r="G421" i="1" s="1"/>
  <c r="A421" i="1"/>
  <c r="E420" i="1"/>
  <c r="G420" i="1" s="1"/>
  <c r="A420" i="1"/>
  <c r="E418" i="1"/>
  <c r="G418" i="1" s="1"/>
  <c r="G417" i="1"/>
  <c r="G416" i="1"/>
  <c r="E416" i="1"/>
  <c r="A416" i="1"/>
  <c r="E415" i="1"/>
  <c r="G415" i="1" s="1"/>
  <c r="A415" i="1"/>
  <c r="G414" i="1"/>
  <c r="G413" i="1"/>
  <c r="G412" i="1"/>
  <c r="E411" i="1"/>
  <c r="G411" i="1" s="1"/>
  <c r="A411" i="1"/>
  <c r="G410" i="1"/>
  <c r="E410" i="1"/>
  <c r="A410" i="1"/>
  <c r="G409" i="1"/>
  <c r="A409" i="1"/>
  <c r="E408" i="1"/>
  <c r="G408" i="1" s="1"/>
  <c r="A408" i="1"/>
  <c r="G407" i="1"/>
  <c r="G406" i="1"/>
  <c r="E405" i="1"/>
  <c r="G405" i="1" s="1"/>
  <c r="A405" i="1"/>
  <c r="E404" i="1"/>
  <c r="G404" i="1" s="1"/>
  <c r="A404" i="1"/>
  <c r="G403" i="1"/>
  <c r="G402" i="1"/>
  <c r="E401" i="1"/>
  <c r="G401" i="1" s="1"/>
  <c r="A401" i="1"/>
  <c r="E400" i="1"/>
  <c r="G400" i="1" s="1"/>
  <c r="A400" i="1"/>
  <c r="G399" i="1"/>
  <c r="E399" i="1"/>
  <c r="E398" i="1"/>
  <c r="G398" i="1" s="1"/>
  <c r="G397" i="1"/>
  <c r="E397" i="1"/>
  <c r="E396" i="1"/>
  <c r="G396" i="1" s="1"/>
  <c r="G395" i="1"/>
  <c r="E395" i="1"/>
  <c r="E394" i="1"/>
  <c r="G394" i="1" s="1"/>
  <c r="G393" i="1"/>
  <c r="E393" i="1"/>
  <c r="E392" i="1"/>
  <c r="G392" i="1" s="1"/>
  <c r="A392" i="1"/>
  <c r="E391" i="1"/>
  <c r="G391" i="1" s="1"/>
  <c r="A391" i="1"/>
  <c r="G390" i="1"/>
  <c r="E390" i="1"/>
  <c r="E389" i="1"/>
  <c r="G389" i="1" s="1"/>
  <c r="G388" i="1"/>
  <c r="G387" i="1"/>
  <c r="G386" i="1"/>
  <c r="G385" i="1"/>
  <c r="G384" i="1"/>
  <c r="G383" i="1"/>
  <c r="E382" i="1"/>
  <c r="G382" i="1" s="1"/>
  <c r="A382" i="1"/>
  <c r="E381" i="1"/>
  <c r="G381" i="1" s="1"/>
  <c r="A381" i="1"/>
  <c r="G380" i="1"/>
  <c r="E380" i="1"/>
  <c r="A380" i="1"/>
  <c r="E379" i="1"/>
  <c r="G379" i="1" s="1"/>
  <c r="A379" i="1"/>
  <c r="E378" i="1"/>
  <c r="G378" i="1" s="1"/>
  <c r="A378" i="1"/>
  <c r="E377" i="1"/>
  <c r="G377" i="1" s="1"/>
  <c r="G376" i="1"/>
  <c r="G375" i="1"/>
  <c r="G374" i="1"/>
  <c r="G373" i="1"/>
  <c r="E372" i="1"/>
  <c r="G372" i="1" s="1"/>
  <c r="A372" i="1"/>
  <c r="E371" i="1"/>
  <c r="G371" i="1" s="1"/>
  <c r="G370" i="1"/>
  <c r="E370" i="1"/>
  <c r="E369" i="1"/>
  <c r="G369" i="1" s="1"/>
  <c r="G368" i="1"/>
  <c r="E368" i="1"/>
  <c r="E367" i="1"/>
  <c r="G367" i="1" s="1"/>
  <c r="G366" i="1"/>
  <c r="E366" i="1"/>
  <c r="E365" i="1"/>
  <c r="G365" i="1" s="1"/>
  <c r="A365" i="1"/>
  <c r="E364" i="1"/>
  <c r="G364" i="1" s="1"/>
  <c r="A364" i="1"/>
  <c r="G363" i="1"/>
  <c r="E363" i="1"/>
  <c r="G362" i="1"/>
  <c r="E361" i="1"/>
  <c r="G361" i="1" s="1"/>
  <c r="E360" i="1"/>
  <c r="G360" i="1" s="1"/>
  <c r="G359" i="1"/>
  <c r="G358" i="1"/>
  <c r="E357" i="1"/>
  <c r="G357" i="1" s="1"/>
  <c r="A357" i="1"/>
  <c r="E356" i="1"/>
  <c r="E355" i="1"/>
  <c r="G355" i="1" s="1"/>
  <c r="E354" i="1"/>
  <c r="G354" i="1" s="1"/>
  <c r="E353" i="1"/>
  <c r="G353" i="1" s="1"/>
  <c r="G352" i="1"/>
  <c r="E352" i="1"/>
  <c r="E351" i="1"/>
  <c r="G351" i="1" s="1"/>
  <c r="A351" i="1"/>
  <c r="E350" i="1"/>
  <c r="E349" i="1"/>
  <c r="G349" i="1" s="1"/>
  <c r="E348" i="1"/>
  <c r="G348" i="1" s="1"/>
  <c r="E347" i="1"/>
  <c r="G347" i="1" s="1"/>
  <c r="G346" i="1"/>
  <c r="E346" i="1"/>
  <c r="E345" i="1"/>
  <c r="G345" i="1" s="1"/>
  <c r="E344" i="1"/>
  <c r="G344" i="1" s="1"/>
  <c r="E343" i="1"/>
  <c r="G343" i="1" s="1"/>
  <c r="E342" i="1"/>
  <c r="G342" i="1" s="1"/>
  <c r="E341" i="1"/>
  <c r="G341" i="1" s="1"/>
  <c r="A341" i="1"/>
  <c r="E340" i="1"/>
  <c r="E339" i="1"/>
  <c r="G339" i="1" s="1"/>
  <c r="A339" i="1"/>
  <c r="G338" i="1"/>
  <c r="E338" i="1"/>
  <c r="A338" i="1"/>
  <c r="E337" i="1"/>
  <c r="G337" i="1" s="1"/>
  <c r="E336" i="1"/>
  <c r="E335" i="1"/>
  <c r="G335" i="1" s="1"/>
  <c r="G334" i="1"/>
  <c r="E334" i="1"/>
  <c r="A334" i="1"/>
  <c r="E333" i="1"/>
  <c r="G333" i="1" s="1"/>
  <c r="A333" i="1"/>
  <c r="E332" i="1"/>
  <c r="G332" i="1" s="1"/>
  <c r="G331" i="1"/>
  <c r="E331" i="1"/>
  <c r="E330" i="1"/>
  <c r="G330" i="1" s="1"/>
  <c r="G329" i="1"/>
  <c r="E329" i="1"/>
  <c r="E328" i="1"/>
  <c r="G328" i="1" s="1"/>
  <c r="G327" i="1"/>
  <c r="E327" i="1"/>
  <c r="E326" i="1"/>
  <c r="G326" i="1" s="1"/>
  <c r="G325" i="1"/>
  <c r="E325" i="1"/>
  <c r="E324" i="1"/>
  <c r="G324" i="1" s="1"/>
  <c r="A324" i="1"/>
  <c r="E323" i="1"/>
  <c r="G322" i="1"/>
  <c r="G321" i="1"/>
  <c r="G320" i="1"/>
  <c r="G319" i="1"/>
  <c r="E318" i="1"/>
  <c r="G318" i="1" s="1"/>
  <c r="A318" i="1"/>
  <c r="E317" i="1"/>
  <c r="G317" i="1" s="1"/>
  <c r="A317" i="1"/>
  <c r="G316" i="1"/>
  <c r="E315" i="1"/>
  <c r="G315" i="1" s="1"/>
  <c r="E314" i="1"/>
  <c r="G314" i="1" s="1"/>
  <c r="G313" i="1"/>
  <c r="E312" i="1"/>
  <c r="G312" i="1" s="1"/>
  <c r="A312" i="1"/>
  <c r="E311" i="1"/>
  <c r="E310" i="1"/>
  <c r="A310" i="1"/>
  <c r="E309" i="1"/>
  <c r="E308" i="1"/>
  <c r="G308" i="1" s="1"/>
  <c r="A308" i="1"/>
  <c r="G307" i="1"/>
  <c r="E307" i="1"/>
  <c r="A307" i="1"/>
  <c r="E306" i="1"/>
  <c r="G306" i="1" s="1"/>
  <c r="A306" i="1"/>
  <c r="E305" i="1"/>
  <c r="G305" i="1" s="1"/>
  <c r="A305" i="1"/>
  <c r="E304" i="1"/>
  <c r="G304" i="1" s="1"/>
  <c r="G303" i="1"/>
  <c r="G302" i="1"/>
  <c r="E302" i="1"/>
  <c r="E301" i="1"/>
  <c r="G301" i="1" s="1"/>
  <c r="A301" i="1"/>
  <c r="E300" i="1"/>
  <c r="G300" i="1" s="1"/>
  <c r="G299" i="1"/>
  <c r="G298" i="1"/>
  <c r="G297" i="1"/>
  <c r="E296" i="1"/>
  <c r="G296" i="1" s="1"/>
  <c r="G295" i="1"/>
  <c r="E295" i="1"/>
  <c r="G294" i="1"/>
  <c r="E293" i="1"/>
  <c r="G293" i="1" s="1"/>
  <c r="E292" i="1"/>
  <c r="G292" i="1" s="1"/>
  <c r="G291" i="1"/>
  <c r="G290" i="1"/>
  <c r="G289" i="1"/>
  <c r="E288" i="1"/>
  <c r="G288" i="1" s="1"/>
  <c r="A288" i="1"/>
  <c r="E287" i="1"/>
  <c r="G287" i="1" s="1"/>
  <c r="A287" i="1"/>
  <c r="G286" i="1"/>
  <c r="E286" i="1"/>
  <c r="A286" i="1"/>
  <c r="G284" i="1"/>
  <c r="G283" i="1"/>
  <c r="E282" i="1"/>
  <c r="G282" i="1" s="1"/>
  <c r="G281" i="1"/>
  <c r="G280" i="1"/>
  <c r="E280" i="1"/>
  <c r="G279" i="1"/>
  <c r="E278" i="1"/>
  <c r="G278" i="1" s="1"/>
  <c r="G277" i="1"/>
  <c r="E276" i="1"/>
  <c r="A276" i="1"/>
  <c r="E275" i="1"/>
  <c r="A275" i="1"/>
  <c r="E274" i="1"/>
  <c r="A274" i="1"/>
  <c r="E273" i="1"/>
  <c r="E272" i="1"/>
  <c r="E270" i="1"/>
  <c r="A270" i="1"/>
  <c r="A270" i="1" a="1"/>
  <c r="G269" i="1"/>
  <c r="G268" i="1"/>
  <c r="G267" i="1"/>
  <c r="E266" i="1"/>
  <c r="G266" i="1" s="1"/>
  <c r="A266" i="1"/>
  <c r="G265" i="1"/>
  <c r="E265" i="1"/>
  <c r="A265" i="1"/>
  <c r="G264" i="1"/>
  <c r="G263" i="1"/>
  <c r="G262" i="1"/>
  <c r="G261" i="1"/>
  <c r="G260" i="1"/>
  <c r="G259" i="1"/>
  <c r="E259" i="1"/>
  <c r="A259" i="1"/>
  <c r="E258" i="1"/>
  <c r="G258" i="1" s="1"/>
  <c r="A258" i="1"/>
  <c r="E257" i="1"/>
  <c r="G257" i="1" s="1"/>
  <c r="G256" i="1"/>
  <c r="E255" i="1"/>
  <c r="G255" i="1" s="1"/>
  <c r="G254" i="1"/>
  <c r="E254" i="1"/>
  <c r="A254" i="1"/>
  <c r="E253" i="1"/>
  <c r="G252" i="1"/>
  <c r="G251" i="1"/>
  <c r="E251" i="1"/>
  <c r="E250" i="1"/>
  <c r="G250" i="1" s="1"/>
  <c r="G249" i="1"/>
  <c r="E248" i="1"/>
  <c r="G248" i="1" s="1"/>
  <c r="G246" i="1"/>
  <c r="E246" i="1"/>
  <c r="A246" i="1"/>
  <c r="E245" i="1"/>
  <c r="G245" i="1" s="1"/>
  <c r="A245" i="1"/>
  <c r="G244" i="1"/>
  <c r="E243" i="1"/>
  <c r="G243" i="1" s="1"/>
  <c r="G242" i="1"/>
  <c r="E242" i="1"/>
  <c r="G241" i="1"/>
  <c r="G240" i="1"/>
  <c r="G239" i="1"/>
  <c r="G238" i="1"/>
  <c r="G237" i="1"/>
  <c r="E236" i="1"/>
  <c r="G236" i="1" s="1"/>
  <c r="A236" i="1"/>
  <c r="E235" i="1"/>
  <c r="G235" i="1" s="1"/>
  <c r="A235" i="1"/>
  <c r="G234" i="1"/>
  <c r="G233" i="1"/>
  <c r="G232" i="1"/>
  <c r="G231" i="1"/>
  <c r="E231" i="1"/>
  <c r="A231" i="1"/>
  <c r="E230" i="1"/>
  <c r="G230" i="1" s="1"/>
  <c r="A230" i="1"/>
  <c r="G229" i="1"/>
  <c r="G228" i="1"/>
  <c r="G227" i="1"/>
  <c r="G226" i="1"/>
  <c r="G225" i="1"/>
  <c r="G224" i="1"/>
  <c r="G223" i="1"/>
  <c r="E223" i="1"/>
  <c r="A223" i="1"/>
  <c r="E222" i="1"/>
  <c r="G222" i="1" s="1"/>
  <c r="A222" i="1"/>
  <c r="G221" i="1"/>
  <c r="G220" i="1"/>
  <c r="G219" i="1"/>
  <c r="E218" i="1"/>
  <c r="G218" i="1" s="1"/>
  <c r="G217" i="1"/>
  <c r="G216" i="1"/>
  <c r="E215" i="1"/>
  <c r="G215" i="1" s="1"/>
  <c r="A215" i="1"/>
  <c r="G214" i="1"/>
  <c r="E214" i="1"/>
  <c r="A214" i="1"/>
  <c r="E213" i="1"/>
  <c r="G213" i="1" s="1"/>
  <c r="G212" i="1"/>
  <c r="E211" i="1"/>
  <c r="G211" i="1" s="1"/>
  <c r="G210" i="1"/>
  <c r="E210" i="1"/>
  <c r="E209" i="1"/>
  <c r="G209" i="1" s="1"/>
  <c r="A209" i="1"/>
  <c r="E208" i="1"/>
  <c r="G208" i="1" s="1"/>
  <c r="A208" i="1"/>
  <c r="G207" i="1"/>
  <c r="E207" i="1"/>
  <c r="E206" i="1"/>
  <c r="G206" i="1" s="1"/>
  <c r="G205" i="1"/>
  <c r="E204" i="1"/>
  <c r="G204" i="1" s="1"/>
  <c r="A204" i="1"/>
  <c r="G203" i="1"/>
  <c r="E203" i="1"/>
  <c r="A203" i="1"/>
  <c r="E202" i="1"/>
  <c r="G202" i="1" s="1"/>
  <c r="E201" i="1"/>
  <c r="G201" i="1" s="1"/>
  <c r="G200" i="1"/>
  <c r="G199" i="1"/>
  <c r="G198" i="1"/>
  <c r="E197" i="1"/>
  <c r="G197" i="1" s="1"/>
  <c r="A197" i="1"/>
  <c r="E196" i="1"/>
  <c r="G196" i="1" s="1"/>
  <c r="A196" i="1"/>
  <c r="G195" i="1"/>
  <c r="E195" i="1"/>
  <c r="E194" i="1"/>
  <c r="G194" i="1" s="1"/>
  <c r="G193" i="1"/>
  <c r="E193" i="1"/>
  <c r="E192" i="1"/>
  <c r="G192" i="1" s="1"/>
  <c r="A192" i="1"/>
  <c r="E191" i="1"/>
  <c r="G191" i="1" s="1"/>
  <c r="A191" i="1"/>
  <c r="G190" i="1"/>
  <c r="E189" i="1"/>
  <c r="G189" i="1" s="1"/>
  <c r="G188" i="1"/>
  <c r="E188" i="1"/>
  <c r="E187" i="1"/>
  <c r="G187" i="1" s="1"/>
  <c r="G186" i="1"/>
  <c r="G185" i="1"/>
  <c r="E185" i="1"/>
  <c r="A185" i="1"/>
  <c r="E184" i="1"/>
  <c r="G184" i="1" s="1"/>
  <c r="A184" i="1"/>
  <c r="G183" i="1"/>
  <c r="G182" i="1"/>
  <c r="G181" i="1"/>
  <c r="G180" i="1"/>
  <c r="G179" i="1"/>
  <c r="G178" i="1"/>
  <c r="G177" i="1"/>
  <c r="E177" i="1"/>
  <c r="A177" i="1"/>
  <c r="E176" i="1"/>
  <c r="G176" i="1" s="1"/>
  <c r="A176" i="1"/>
  <c r="E175" i="1"/>
  <c r="G175" i="1" s="1"/>
  <c r="G174" i="1"/>
  <c r="E174" i="1"/>
  <c r="G173" i="1"/>
  <c r="E172" i="1"/>
  <c r="G172" i="1" s="1"/>
  <c r="G171" i="1"/>
  <c r="G170" i="1"/>
  <c r="E169" i="1"/>
  <c r="G169" i="1" s="1"/>
  <c r="A169" i="1"/>
  <c r="E168" i="1"/>
  <c r="G168" i="1" s="1"/>
  <c r="A168" i="1"/>
  <c r="E167" i="1"/>
  <c r="G167" i="1" s="1"/>
  <c r="E166" i="1"/>
  <c r="G166" i="1" s="1"/>
  <c r="E165" i="1"/>
  <c r="G165" i="1" s="1"/>
  <c r="E164" i="1"/>
  <c r="G164" i="1" s="1"/>
  <c r="E163" i="1"/>
  <c r="G163" i="1" s="1"/>
  <c r="G162" i="1"/>
  <c r="E162" i="1"/>
  <c r="E161" i="1"/>
  <c r="G161" i="1" s="1"/>
  <c r="E160" i="1"/>
  <c r="G160" i="1" s="1"/>
  <c r="E159" i="1"/>
  <c r="G159" i="1" s="1"/>
  <c r="E158" i="1"/>
  <c r="G158" i="1" s="1"/>
  <c r="A158" i="1"/>
  <c r="E157" i="1"/>
  <c r="G157" i="1" s="1"/>
  <c r="A157" i="1"/>
  <c r="E156" i="1"/>
  <c r="G156" i="1" s="1"/>
  <c r="E155" i="1"/>
  <c r="G155" i="1" s="1"/>
  <c r="E154" i="1"/>
  <c r="G154" i="1" s="1"/>
  <c r="E153" i="1"/>
  <c r="G153" i="1" s="1"/>
  <c r="E152" i="1"/>
  <c r="G152" i="1" s="1"/>
  <c r="G151" i="1"/>
  <c r="E151" i="1"/>
  <c r="E150" i="1"/>
  <c r="G150" i="1" s="1"/>
  <c r="E149" i="1"/>
  <c r="G149" i="1" s="1"/>
  <c r="E148" i="1"/>
  <c r="G148" i="1" s="1"/>
  <c r="E147" i="1"/>
  <c r="G147" i="1" s="1"/>
  <c r="A147" i="1"/>
  <c r="E146" i="1"/>
  <c r="G146" i="1" s="1"/>
  <c r="A146" i="1"/>
  <c r="E145" i="1"/>
  <c r="G145" i="1" s="1"/>
  <c r="A145" i="1"/>
  <c r="G144" i="1"/>
  <c r="E144" i="1"/>
  <c r="E143" i="1"/>
  <c r="G143" i="1" s="1"/>
  <c r="G142" i="1"/>
  <c r="E141" i="1"/>
  <c r="G141" i="1" s="1"/>
  <c r="A141" i="1"/>
  <c r="G140" i="1"/>
  <c r="E140" i="1"/>
  <c r="A140" i="1"/>
  <c r="E139" i="1"/>
  <c r="G139" i="1" s="1"/>
  <c r="A139" i="1"/>
  <c r="E138" i="1"/>
  <c r="G138" i="1" s="1"/>
  <c r="G137" i="1"/>
  <c r="E137" i="1"/>
  <c r="E136" i="1"/>
  <c r="G136" i="1" s="1"/>
  <c r="G135" i="1"/>
  <c r="E135" i="1"/>
  <c r="E134" i="1"/>
  <c r="G134" i="1" s="1"/>
  <c r="G133" i="1"/>
  <c r="E133" i="1"/>
  <c r="A133" i="1"/>
  <c r="E132" i="1"/>
  <c r="G132" i="1" s="1"/>
  <c r="A132" i="1"/>
  <c r="E131" i="1"/>
  <c r="G131" i="1" s="1"/>
  <c r="G130" i="1"/>
  <c r="E130" i="1"/>
  <c r="E129" i="1"/>
  <c r="G129" i="1" s="1"/>
  <c r="G128" i="1"/>
  <c r="E128" i="1"/>
  <c r="E127" i="1"/>
  <c r="G127" i="1" s="1"/>
  <c r="G126" i="1"/>
  <c r="E126" i="1"/>
  <c r="E125" i="1"/>
  <c r="G125" i="1" s="1"/>
  <c r="G124" i="1"/>
  <c r="E124" i="1"/>
  <c r="E123" i="1"/>
  <c r="G123" i="1" s="1"/>
  <c r="A123" i="1"/>
  <c r="E122" i="1"/>
  <c r="G122" i="1" s="1"/>
  <c r="A122" i="1"/>
  <c r="G121" i="1"/>
  <c r="E121" i="1"/>
  <c r="E120" i="1"/>
  <c r="G120" i="1" s="1"/>
  <c r="G119" i="1"/>
  <c r="E119" i="1"/>
  <c r="E118" i="1"/>
  <c r="G118" i="1" s="1"/>
  <c r="G117" i="1"/>
  <c r="E117" i="1"/>
  <c r="E116" i="1"/>
  <c r="G116" i="1" s="1"/>
  <c r="G115" i="1"/>
  <c r="E115" i="1"/>
  <c r="A115" i="1"/>
  <c r="E114" i="1"/>
  <c r="G114" i="1" s="1"/>
  <c r="A114" i="1"/>
  <c r="G113" i="1"/>
  <c r="E112" i="1"/>
  <c r="G112" i="1" s="1"/>
  <c r="E111" i="1"/>
  <c r="G111" i="1" s="1"/>
  <c r="E110" i="1"/>
  <c r="G110" i="1" s="1"/>
  <c r="E109" i="1"/>
  <c r="G109" i="1" s="1"/>
  <c r="E108" i="1"/>
  <c r="G108" i="1" s="1"/>
  <c r="G107" i="1"/>
  <c r="E106" i="1"/>
  <c r="G106" i="1" s="1"/>
  <c r="G105" i="1"/>
  <c r="G104" i="1"/>
  <c r="E103" i="1"/>
  <c r="G103" i="1" s="1"/>
  <c r="A103" i="1"/>
  <c r="E102" i="1"/>
  <c r="G102" i="1" s="1"/>
  <c r="A102" i="1"/>
  <c r="G101" i="1"/>
  <c r="E101" i="1"/>
  <c r="A101" i="1"/>
  <c r="E100" i="1"/>
  <c r="G100" i="1" s="1"/>
  <c r="A100" i="1"/>
  <c r="G99" i="1"/>
  <c r="G98" i="1"/>
  <c r="G97" i="1"/>
  <c r="E96" i="1"/>
  <c r="G96" i="1" s="1"/>
  <c r="E95" i="1"/>
  <c r="G95" i="1" s="1"/>
  <c r="G94" i="1"/>
  <c r="E93" i="1"/>
  <c r="A93" i="1"/>
  <c r="E92" i="1"/>
  <c r="A92" i="1"/>
  <c r="E91" i="1"/>
  <c r="A91" i="1"/>
  <c r="E90" i="1"/>
  <c r="E89" i="1"/>
  <c r="E88" i="1"/>
  <c r="E87" i="1"/>
  <c r="E86" i="1"/>
  <c r="G86" i="1" s="1"/>
  <c r="E85" i="1"/>
  <c r="G85" i="1" s="1"/>
  <c r="A85" i="1"/>
  <c r="E84" i="1"/>
  <c r="G84" i="1" s="1"/>
  <c r="A84" i="1"/>
  <c r="E83" i="1"/>
  <c r="G83" i="1" s="1"/>
  <c r="A83" i="1"/>
  <c r="G82" i="1"/>
  <c r="E82" i="1"/>
  <c r="A82" i="1"/>
  <c r="E81" i="1"/>
  <c r="G81" i="1" s="1"/>
  <c r="A81" i="1"/>
  <c r="E80" i="1"/>
  <c r="G80" i="1" s="1"/>
  <c r="A80" i="1"/>
  <c r="E79" i="1"/>
  <c r="G79" i="1" s="1"/>
  <c r="A79" i="1"/>
  <c r="G78" i="1"/>
  <c r="E78" i="1"/>
  <c r="A78" i="1"/>
  <c r="E77" i="1"/>
  <c r="G77" i="1" s="1"/>
  <c r="E76" i="1"/>
  <c r="G76" i="1" s="1"/>
  <c r="E75" i="1"/>
  <c r="G75" i="1" s="1"/>
  <c r="G74" i="1"/>
  <c r="E73" i="1"/>
  <c r="G73" i="1" s="1"/>
  <c r="A73" i="1"/>
  <c r="E72" i="1"/>
  <c r="G72" i="1" s="1"/>
  <c r="A72" i="1"/>
  <c r="G71" i="1"/>
  <c r="A71" i="1"/>
  <c r="E70" i="1"/>
  <c r="G70" i="1" s="1"/>
  <c r="A70" i="1"/>
  <c r="G69" i="1"/>
  <c r="A69" i="1"/>
  <c r="E68" i="1"/>
  <c r="G68" i="1" s="1"/>
  <c r="A68" i="1"/>
  <c r="G67" i="1"/>
  <c r="A67" i="1"/>
  <c r="G66" i="1"/>
  <c r="E66" i="1"/>
  <c r="A66" i="1"/>
  <c r="E65" i="1"/>
  <c r="G65" i="1" s="1"/>
  <c r="A65" i="1"/>
  <c r="E64" i="1"/>
  <c r="G64" i="1" s="1"/>
  <c r="A64" i="1"/>
  <c r="E63" i="1"/>
  <c r="G63" i="1" s="1"/>
  <c r="A63" i="1"/>
  <c r="G62" i="1"/>
  <c r="E62" i="1"/>
  <c r="A62" i="1"/>
  <c r="E61" i="1"/>
  <c r="G61" i="1" s="1"/>
  <c r="A61" i="1"/>
  <c r="E60" i="1"/>
  <c r="G60" i="1" s="1"/>
  <c r="A60" i="1"/>
  <c r="E59" i="1"/>
  <c r="G59" i="1" s="1"/>
  <c r="A59" i="1"/>
  <c r="G58" i="1"/>
  <c r="E58" i="1"/>
  <c r="A58" i="1"/>
  <c r="G57" i="1"/>
  <c r="A57" i="1"/>
  <c r="E56" i="1"/>
  <c r="G56" i="1" s="1"/>
  <c r="A56" i="1"/>
  <c r="G55" i="1"/>
  <c r="E55" i="1"/>
  <c r="A55" i="1"/>
  <c r="E54" i="1"/>
  <c r="G54" i="1" s="1"/>
  <c r="A54" i="1"/>
  <c r="E53" i="1"/>
  <c r="G53" i="1" s="1"/>
  <c r="A53" i="1"/>
  <c r="E52" i="1"/>
  <c r="G52" i="1" s="1"/>
  <c r="A52" i="1"/>
  <c r="G51" i="1"/>
  <c r="A51" i="1"/>
  <c r="E50" i="1"/>
  <c r="G50" i="1" s="1"/>
  <c r="A50" i="1"/>
  <c r="G49" i="1"/>
  <c r="A49" i="1"/>
  <c r="E48" i="1"/>
  <c r="G48" i="1" s="1"/>
  <c r="A48" i="1"/>
  <c r="G47" i="1"/>
  <c r="A47" i="1"/>
  <c r="G46" i="1"/>
  <c r="E46" i="1"/>
  <c r="A46" i="1"/>
  <c r="E45" i="1"/>
  <c r="G45" i="1" s="1"/>
  <c r="A45" i="1"/>
  <c r="E44" i="1"/>
  <c r="G44" i="1" s="1"/>
  <c r="A44" i="1"/>
  <c r="E43" i="1"/>
  <c r="G43" i="1" s="1"/>
  <c r="A43" i="1"/>
  <c r="G42" i="1"/>
  <c r="E42" i="1"/>
  <c r="A42" i="1"/>
  <c r="G41" i="1"/>
  <c r="G40" i="1"/>
  <c r="E40" i="1"/>
  <c r="G39" i="1"/>
  <c r="E38" i="1"/>
  <c r="G38" i="1" s="1"/>
  <c r="A38" i="1"/>
  <c r="E37" i="1"/>
  <c r="G37" i="1" s="1"/>
  <c r="A37" i="1"/>
  <c r="E36" i="1"/>
  <c r="G36" i="1" s="1"/>
  <c r="A36" i="1"/>
  <c r="E35" i="1"/>
  <c r="A35" i="1"/>
  <c r="E34" i="1"/>
  <c r="G34" i="1" s="1"/>
  <c r="A34" i="1"/>
  <c r="E33" i="1"/>
  <c r="G33" i="1" s="1"/>
  <c r="A33" i="1"/>
  <c r="G32" i="1"/>
  <c r="E32" i="1"/>
  <c r="A32" i="1"/>
  <c r="E31" i="1"/>
  <c r="G31" i="1" s="1"/>
  <c r="A31" i="1"/>
  <c r="E30" i="1"/>
  <c r="G30" i="1" s="1"/>
  <c r="A30" i="1"/>
  <c r="E29" i="1"/>
  <c r="G29" i="1" s="1"/>
  <c r="A29" i="1"/>
  <c r="G28" i="1"/>
  <c r="A28" i="1"/>
  <c r="E27" i="1"/>
  <c r="G27" i="1" s="1"/>
  <c r="A27" i="1"/>
  <c r="E26" i="1"/>
  <c r="G26" i="1" s="1"/>
  <c r="A26" i="1"/>
  <c r="G25" i="1"/>
  <c r="E25" i="1"/>
  <c r="A25" i="1"/>
  <c r="E24" i="1"/>
  <c r="G24" i="1" s="1"/>
  <c r="A24" i="1"/>
  <c r="E23" i="1"/>
  <c r="G23" i="1" s="1"/>
  <c r="A23" i="1"/>
  <c r="E22" i="1"/>
  <c r="G22" i="1" s="1"/>
  <c r="A22" i="1"/>
  <c r="G21" i="1"/>
  <c r="E21" i="1"/>
  <c r="E20" i="1"/>
  <c r="G20" i="1" s="1"/>
  <c r="A20" i="1"/>
  <c r="E19" i="1"/>
  <c r="G19" i="1" s="1"/>
  <c r="A19" i="1"/>
  <c r="G18" i="1"/>
  <c r="E18" i="1"/>
  <c r="E689" i="1" s="1"/>
  <c r="A18" i="1"/>
  <c r="A7" i="1"/>
  <c r="A6" i="1"/>
  <c r="A5" i="1"/>
  <c r="A4" i="1"/>
  <c r="A3" i="1"/>
  <c r="A2" i="1"/>
  <c r="G87" i="1" l="1"/>
  <c r="G685" i="1"/>
  <c r="G558" i="1"/>
  <c r="G611" i="1"/>
  <c r="G271" i="1"/>
  <c r="G472" i="1"/>
  <c r="G638" i="1"/>
  <c r="G687"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<sst xmlns="http://schemas.openxmlformats.org/spreadsheetml/2006/main" count="1462" uniqueCount="454">
  <si>
    <t>SR. NO.</t>
  </si>
  <si>
    <t>DESCRIPTION</t>
  </si>
  <si>
    <t>UNIT</t>
  </si>
  <si>
    <t>Qty.</t>
  </si>
  <si>
    <t>Rate</t>
  </si>
  <si>
    <t>Amount</t>
  </si>
  <si>
    <t>A</t>
  </si>
  <si>
    <t>SANITARY FIXTURES &amp; CP FITTINGS:</t>
  </si>
  <si>
    <t>NOTES:-</t>
  </si>
  <si>
    <t>General Notes:
1) Detail of sanitary fixture are for the information of the contractor only. However model / makes of all sanitary fixture shall be selected by Client / interior team and the same shall be binding for execution.
2) No additional fixing cost shall be paid for change in type of sanitary fixture or fitting.
3) Provision of extension piece for final connection of CP fitting shall be supplied and installed by the contractor accordingly (as required).
4) The rate shall include cost of raw materials, labour, loading and unloading, transportation, scaffolding  and  all other incidental charges etc., with all leads and lifts, complete as per specifications, drawings and as directed by the Engineer-in-charge.
5) All required civil work related to fixing of sanitaryware &amp; cp fixtures shall be in scope of PHE contractor.
6) The rate quoted shall be applicable for all floors, all heights and all places.                                                                                           
7) All gaps between wall / floor and sanitary vessels shall be filled with sanitary grade sealant.
8) CP Brass or SS screws shall be used for fixing sanitary fixtures and accessories in toilet, bath, pantry and kitchen area As per recommendation finalized model company guidelines.
9 ) All fixtures flow rates as per IGBC Guidelines
10) Any other item required for satisfactory installation shall be in the scope of contractor FOC.
11) Description given below may differ as per final product selection.
12) If All Sanitary Fixtures &amp; CP Fittings with all fittings and accessories will be supplied by the owner / Client Free of cost, in that case contractors will be quote only Installation, testing and commissioning Rates.</t>
  </si>
  <si>
    <r>
      <t xml:space="preserve">Supply, Fixing, Testing and Commissioning </t>
    </r>
    <r>
      <rPr>
        <b/>
        <sz val="10"/>
        <rFont val="Arial"/>
        <family val="2"/>
      </rPr>
      <t>wall hung type</t>
    </r>
    <r>
      <rPr>
        <sz val="10"/>
        <rFont val="Arial"/>
        <family val="2"/>
      </rPr>
      <t xml:space="preserve"> white vitreous China </t>
    </r>
    <r>
      <rPr>
        <b/>
        <sz val="10"/>
        <rFont val="Arial"/>
        <family val="2"/>
      </rPr>
      <t>European water closet</t>
    </r>
    <r>
      <rPr>
        <sz val="10"/>
        <rFont val="Arial"/>
        <family val="2"/>
      </rPr>
      <t xml:space="preserve"> with concealed `P' or ‘S’ trap, seat &amp; lid (heavy duty) C.P. brass hinges, including C.I. chair,    with chair grouting, rubber buffers, C.P. nuts, bolts, etc. including accessories CI / MS brackets painted with two coats of  approved shade over a coat of primer, C.P. Brass screws and wooden cleats.</t>
    </r>
  </si>
  <si>
    <t>No.</t>
  </si>
  <si>
    <r>
      <t xml:space="preserve">Supply, Fixing, Testing and Commissioning of </t>
    </r>
    <r>
      <rPr>
        <b/>
        <sz val="10"/>
        <rFont val="Arial"/>
        <family val="2"/>
      </rPr>
      <t>Concealed flushing cistern with or without Frame</t>
    </r>
    <r>
      <rPr>
        <sz val="10"/>
        <rFont val="Arial"/>
        <family val="2"/>
      </rPr>
      <t xml:space="preserve"> with dual flushing actuator plate, flush stop function noise less float valve and fast filling action with all component parts of high quality complete in all respects. Rates to be included considering chasing in the wall as required and making good the same with appropriate mortar.</t>
    </r>
  </si>
  <si>
    <r>
      <t xml:space="preserve">Supply, Fixing, Testing and Commissioning </t>
    </r>
    <r>
      <rPr>
        <b/>
        <sz val="10"/>
        <rFont val="Arial"/>
        <family val="2"/>
      </rPr>
      <t>C.P. brass health faucet</t>
    </r>
    <r>
      <rPr>
        <sz val="10"/>
        <rFont val="Arial"/>
        <family val="2"/>
      </rPr>
      <t xml:space="preserve"> assembly comprising hand held shower with 8 mm dia flexible tube with mounting bracket fixed on wall complete. </t>
    </r>
  </si>
  <si>
    <r>
      <t xml:space="preserve">Supply, Fixing, Testing and Commissioning of </t>
    </r>
    <r>
      <rPr>
        <b/>
        <sz val="10"/>
        <rFont val="Arial"/>
        <family val="2"/>
      </rPr>
      <t>CP brass Two way bib cock</t>
    </r>
    <r>
      <rPr>
        <sz val="10"/>
        <rFont val="Arial"/>
        <family val="2"/>
      </rPr>
      <t xml:space="preserve"> including, necessary flange.</t>
    </r>
  </si>
  <si>
    <r>
      <t xml:space="preserve">Supply and Fixing of </t>
    </r>
    <r>
      <rPr>
        <b/>
        <sz val="10"/>
        <rFont val="Arial"/>
        <family val="2"/>
      </rPr>
      <t>Twin robe hook</t>
    </r>
  </si>
  <si>
    <r>
      <t xml:space="preserve">Supply, Fixing, Testing and Commissioning of </t>
    </r>
    <r>
      <rPr>
        <b/>
        <sz val="10"/>
        <rFont val="Arial"/>
        <family val="2"/>
      </rPr>
      <t>stainless steel toilet paper holder</t>
    </r>
    <r>
      <rPr>
        <sz val="10"/>
        <rFont val="Arial"/>
        <family val="2"/>
      </rPr>
      <t xml:space="preserve"> of approved makes. Including chasing in the masonary/R.C.C wall and making good with cement mortar.</t>
    </r>
  </si>
  <si>
    <t>QRO</t>
  </si>
  <si>
    <t>Providing and fixing water closet squatting pan (Indian type W.C. pan) with 100 mm sand cast Iron P or S trap, flush valve, fittings, nuts, bolts and gasket etc complete including flush pipe, with all fittings and fixtures complete, including cutting and making good the walls and floors wherever required</t>
  </si>
  <si>
    <r>
      <t>Supply, Fixing, Testing and Commissioning vitreous China</t>
    </r>
    <r>
      <rPr>
        <b/>
        <sz val="10"/>
        <rFont val="Arial"/>
        <family val="2"/>
      </rPr>
      <t xml:space="preserve"> Wash basin</t>
    </r>
    <r>
      <rPr>
        <sz val="10"/>
        <rFont val="Arial"/>
        <family val="2"/>
      </rPr>
      <t xml:space="preserve"> (under / over the counter / Semi recessed) with  below mention Accessories </t>
    </r>
    <r>
      <rPr>
        <b/>
        <sz val="10"/>
        <rFont val="Arial"/>
        <family val="2"/>
      </rPr>
      <t xml:space="preserve">
32 mm dia C.P brass waste coupling,</t>
    </r>
    <r>
      <rPr>
        <sz val="10"/>
        <rFont val="Arial"/>
        <family val="2"/>
      </rPr>
      <t xml:space="preserve"> 
</t>
    </r>
    <r>
      <rPr>
        <b/>
        <sz val="10"/>
        <rFont val="Arial"/>
        <family val="2"/>
      </rPr>
      <t xml:space="preserve">32 mm dia C.P cast brass bottle trap </t>
    </r>
    <r>
      <rPr>
        <sz val="10"/>
        <rFont val="Arial"/>
        <family val="2"/>
      </rPr>
      <t>with union, 32 mm dia C.P brass pipe to wall &amp; CP wall flange, rubber acceptors for waste connection and  C.I. painted brackets bolts, nuts etc. 
(Cutting, finishing, making holes in Stone/wood shall be in civil / Interior contractor's scope).</t>
    </r>
  </si>
  <si>
    <r>
      <t>Supply, Fixing, Testing and Commissioning of Wall / Table mounted</t>
    </r>
    <r>
      <rPr>
        <b/>
        <sz val="10"/>
        <rFont val="Arial"/>
        <family val="2"/>
      </rPr>
      <t xml:space="preserve"> C.P. Brass</t>
    </r>
    <r>
      <rPr>
        <sz val="10"/>
        <rFont val="Arial"/>
        <family val="2"/>
      </rPr>
      <t xml:space="preserve"> </t>
    </r>
    <r>
      <rPr>
        <b/>
        <sz val="10"/>
        <rFont val="Arial"/>
        <family val="2"/>
      </rPr>
      <t xml:space="preserve">single lever basin mixer/ Pillar cock </t>
    </r>
    <r>
      <rPr>
        <sz val="10"/>
        <rFont val="Arial"/>
        <family val="2"/>
      </rPr>
      <t>with ss flexible connection and brass nuts complete. 
In case of fixing in stone, Hole making / cutting will be done by civil / Interior contractor</t>
    </r>
    <r>
      <rPr>
        <b/>
        <sz val="10"/>
        <rFont val="Arial"/>
        <family val="2"/>
      </rPr>
      <t>.</t>
    </r>
    <r>
      <rPr>
        <sz val="10"/>
        <rFont val="Arial"/>
        <family val="2"/>
      </rPr>
      <t xml:space="preserve"> However, marking of hole for fixing of pillar tap to be given by plumbing contractor according to selection of wash basin, pillar cock as per architecture / interior drawing.</t>
    </r>
  </si>
  <si>
    <r>
      <t xml:space="preserve">Supply, Fixing, Testing and Commissioning of 15 mm dia </t>
    </r>
    <r>
      <rPr>
        <b/>
        <sz val="10"/>
        <rFont val="Arial"/>
        <family val="2"/>
      </rPr>
      <t>C. P. Brass angle valve</t>
    </r>
    <r>
      <rPr>
        <sz val="10"/>
        <rFont val="Arial"/>
        <family val="2"/>
      </rPr>
      <t xml:space="preserve"> with C.P. brass flange.</t>
    </r>
  </si>
  <si>
    <r>
      <t>Supply, Fixing, Testing and Commissioning of Stainless  steel</t>
    </r>
    <r>
      <rPr>
        <b/>
        <sz val="10"/>
        <rFont val="Arial"/>
        <family val="2"/>
      </rPr>
      <t xml:space="preserve"> Kitchen  Sink</t>
    </r>
    <r>
      <rPr>
        <sz val="10"/>
        <rFont val="Arial"/>
        <family val="2"/>
      </rPr>
      <t xml:space="preserve"> with CI bracket (painted), 40 mm dia C.P. brass waste coupling, C.P. brass chain and rubber, 40 mm dia caste brass bottle trap  with necessary union, C.P. pipe to wall &amp; CP wall flange  complete. 
</t>
    </r>
    <r>
      <rPr>
        <b/>
        <sz val="10"/>
        <rFont val="Arial"/>
        <family val="2"/>
      </rPr>
      <t>In case of fixing in stone, Hole making / cutting will be done civil / Interior contractor.</t>
    </r>
    <r>
      <rPr>
        <sz val="10"/>
        <rFont val="Arial"/>
        <family val="2"/>
      </rPr>
      <t xml:space="preserve"> However, marking of hole for fixing of pillar tap to be given by plumbing contractor according to selection of wash basin, pillar cock as per architecture / interior drawing.</t>
    </r>
  </si>
  <si>
    <t xml:space="preserve"> </t>
  </si>
  <si>
    <t>a</t>
  </si>
  <si>
    <r>
      <t>Single bowl</t>
    </r>
    <r>
      <rPr>
        <b/>
        <sz val="10"/>
        <rFont val="Arial"/>
        <family val="2"/>
      </rPr>
      <t xml:space="preserve"> without drain board. </t>
    </r>
  </si>
  <si>
    <t>b</t>
  </si>
  <si>
    <r>
      <t xml:space="preserve">Single bowl </t>
    </r>
    <r>
      <rPr>
        <b/>
        <sz val="10"/>
        <rFont val="Arial"/>
        <family val="2"/>
      </rPr>
      <t xml:space="preserve">with drain board. </t>
    </r>
  </si>
  <si>
    <t>c</t>
  </si>
  <si>
    <r>
      <t xml:space="preserve">Double bowl </t>
    </r>
    <r>
      <rPr>
        <b/>
        <sz val="10"/>
        <rFont val="Arial"/>
        <family val="2"/>
      </rPr>
      <t xml:space="preserve">with drain board. </t>
    </r>
  </si>
  <si>
    <r>
      <t xml:space="preserve">Supply, Fixing, Testing and Commissioning of </t>
    </r>
    <r>
      <rPr>
        <b/>
        <sz val="10"/>
        <rFont val="Arial"/>
        <family val="2"/>
      </rPr>
      <t>C.P. Brass Sink Mixer</t>
    </r>
    <r>
      <rPr>
        <sz val="10"/>
        <rFont val="Arial"/>
        <family val="2"/>
      </rPr>
      <t xml:space="preserve"> swinging costed spout single hole tap with  required size.  In case of fixing in stone, will be fixed by civil / Interior contractor. However, marking of hole for fixing of pillar tap to be given by plumbing contractor according to selection of wash basin, pillar cock as per architecture / interior drawing.</t>
    </r>
  </si>
  <si>
    <r>
      <t xml:space="preserve">Supply, Fixing, Testing and Commissioning of </t>
    </r>
    <r>
      <rPr>
        <b/>
        <sz val="10"/>
        <rFont val="Arial"/>
        <family val="2"/>
      </rPr>
      <t>CP brass short body bib cock</t>
    </r>
    <r>
      <rPr>
        <sz val="10"/>
        <rFont val="Arial"/>
        <family val="2"/>
      </rPr>
      <t xml:space="preserve"> including, necessary flange.</t>
    </r>
  </si>
  <si>
    <r>
      <t xml:space="preserve">Supply, Fixing, Testing and Commissioning of </t>
    </r>
    <r>
      <rPr>
        <b/>
        <sz val="10"/>
        <rFont val="Arial"/>
        <family val="2"/>
      </rPr>
      <t>CP brass long body bib cock</t>
    </r>
    <r>
      <rPr>
        <sz val="10"/>
        <rFont val="Arial"/>
        <family val="2"/>
      </rPr>
      <t xml:space="preserve"> including, necessary flange.</t>
    </r>
  </si>
  <si>
    <r>
      <t xml:space="preserve">Supply, Fixing, Testing and Commissioning of </t>
    </r>
    <r>
      <rPr>
        <b/>
        <sz val="10"/>
        <rFont val="Arial"/>
        <family val="2"/>
      </rPr>
      <t>CP brass towel ring</t>
    </r>
    <r>
      <rPr>
        <sz val="10"/>
        <rFont val="Arial"/>
        <family val="2"/>
      </rPr>
      <t xml:space="preserve"> with screw and rawal plug etc.</t>
    </r>
  </si>
  <si>
    <r>
      <t>Supply, Fixing, Testing and Commissioning of</t>
    </r>
    <r>
      <rPr>
        <b/>
        <sz val="10"/>
        <rFont val="Arial"/>
        <family val="2"/>
      </rPr>
      <t xml:space="preserve"> CP brass towel rod </t>
    </r>
    <r>
      <rPr>
        <sz val="10"/>
        <rFont val="Arial"/>
        <family val="2"/>
      </rPr>
      <t>with CP brass bracket of approved make fixed to PVC rawal plug with CP brass screws.</t>
    </r>
  </si>
  <si>
    <r>
      <rPr>
        <b/>
        <sz val="10"/>
        <rFont val="Arial"/>
        <family val="2"/>
      </rPr>
      <t>Hadicapped toilet &amp; shower</t>
    </r>
    <r>
      <rPr>
        <sz val="10"/>
        <rFont val="Arial"/>
        <family val="2"/>
      </rPr>
      <t xml:space="preserve">
Supply, fixing, testing &amp; commissioning of handicapped toilet with  all require accessories. Designed  for people with special  needs. One set crane consists of following: EWC with flush tank &amp; seat cover, wash basin, Pillar cock, Disable shower folding seat  wall mounted grab bars for EWC,  U shaped Grab Bar. With all required accessories with necessary holes and grooves work and making it well finished etc. Complete as per drawing and details.
The quoted rated shall be including fixing of ewc, cistern, seat cover, internal fitting, wash basin, lever faucet, grab bars, hand rail, pillar cock, angle cock, flexible pipe, connector pipe, bracket etc with required cement ( white/grey) with required tools, tackles, materials to complete the work up to satisfaction of E-I-C.</t>
    </r>
  </si>
  <si>
    <r>
      <t>Supply, Fixing, Testing and Commissioning of</t>
    </r>
    <r>
      <rPr>
        <b/>
        <sz val="10"/>
        <rFont val="Arial"/>
        <family val="2"/>
      </rPr>
      <t xml:space="preserve"> hand drier</t>
    </r>
    <r>
      <rPr>
        <sz val="10"/>
        <rFont val="Arial"/>
        <family val="2"/>
      </rPr>
      <t xml:space="preserve"> of approved make and Model having twin blower integrated with timer and infrared sensing system automatic which can work 230 volts single phase etc. complete in all respects.</t>
    </r>
  </si>
  <si>
    <r>
      <t xml:space="preserve">Supply of 15 mm dia </t>
    </r>
    <r>
      <rPr>
        <b/>
        <sz val="10"/>
        <rFont val="Arial"/>
        <family val="2"/>
      </rPr>
      <t>CP brass extension nipple / hex nipple</t>
    </r>
    <r>
      <rPr>
        <sz val="10"/>
        <rFont val="Arial"/>
        <family val="2"/>
      </rPr>
      <t xml:space="preserve"> up to 50 mm long complete in all respect. (This item shall be operated only In case of material supplied by  contractor, No labour charges shall be paid)</t>
    </r>
  </si>
  <si>
    <r>
      <t xml:space="preserve">Supply, Fixing, Testing and Commissioning of </t>
    </r>
    <r>
      <rPr>
        <b/>
        <sz val="10"/>
        <rFont val="Arial"/>
        <family val="2"/>
      </rPr>
      <t>C. P. Brass concealed mixer / Divertor</t>
    </r>
    <r>
      <rPr>
        <sz val="10"/>
        <rFont val="Arial"/>
        <family val="2"/>
      </rPr>
      <t xml:space="preserve"> &amp; wall flange (for shower) including necessary fittings/ accessories, exposed part including cutting &amp; making good the wall wherever required.</t>
    </r>
  </si>
  <si>
    <r>
      <t xml:space="preserve">Supply, Fixing, Testing and Commissioning of revolving type </t>
    </r>
    <r>
      <rPr>
        <b/>
        <sz val="10"/>
        <rFont val="Arial"/>
        <family val="2"/>
      </rPr>
      <t>head shower &amp; shower arm.</t>
    </r>
  </si>
  <si>
    <r>
      <t xml:space="preserve">Supply and Fixing of </t>
    </r>
    <r>
      <rPr>
        <b/>
        <sz val="10"/>
        <rFont val="Arial"/>
        <family val="2"/>
      </rPr>
      <t>Hand shower with flexible hose</t>
    </r>
    <r>
      <rPr>
        <sz val="10"/>
        <rFont val="Arial"/>
        <family val="2"/>
      </rPr>
      <t xml:space="preserve"> and stand.</t>
    </r>
  </si>
  <si>
    <r>
      <t xml:space="preserve">Supply, Fixing, Testing and Commissioning of </t>
    </r>
    <r>
      <rPr>
        <b/>
        <sz val="10"/>
        <rFont val="Arial"/>
        <family val="2"/>
      </rPr>
      <t>Bath Spout.</t>
    </r>
  </si>
  <si>
    <r>
      <t xml:space="preserve">Supply, Fixing, Testing and Commissioning of white glazed vitreous China large flat back lipped front </t>
    </r>
    <r>
      <rPr>
        <b/>
        <sz val="10"/>
        <rFont val="Arial"/>
        <family val="2"/>
      </rPr>
      <t xml:space="preserve">Urinal basin </t>
    </r>
    <r>
      <rPr>
        <sz val="10"/>
        <rFont val="Arial"/>
        <family val="2"/>
      </rPr>
      <t>with below mention Accessories 
C.I bracket (colour painted) 
40 mm CP brass domical waste, 
40 mm C.P. caste brass bottle trap, 
CP flush pipe with spreader &amp; other necessary fittings 
C.P. brass hex nipple; elbow; unions, washers, cap, C.P. nuts, bolts etc.</t>
    </r>
  </si>
  <si>
    <r>
      <t xml:space="preserve">Supply, Fixing, Testing and Commissioning of Infra-Red based </t>
    </r>
    <r>
      <rPr>
        <b/>
        <sz val="10"/>
        <rFont val="Arial"/>
        <family val="2"/>
      </rPr>
      <t>Electronic Urinal flushing system</t>
    </r>
    <r>
      <rPr>
        <sz val="10"/>
        <rFont val="Arial"/>
        <family val="2"/>
      </rPr>
      <t xml:space="preserve"> operated on 6V DC (4AA) battery for urinals comprising of solenoid valve, concealed built in strainer &amp; flow mechanism piping, flush mounted sensors with all accessories &amp; fittings complete in all respect in fully operational condition etc including cutting and making good the wall where required.</t>
    </r>
  </si>
  <si>
    <r>
      <t xml:space="preserve">Supply and Fixing of </t>
    </r>
    <r>
      <rPr>
        <b/>
        <sz val="10"/>
        <rFont val="Arial"/>
        <family val="2"/>
      </rPr>
      <t>white glazed vitreous China urinal partitions</t>
    </r>
    <r>
      <rPr>
        <sz val="10"/>
        <rFont val="Arial"/>
        <family val="2"/>
      </rPr>
      <t xml:space="preserve"> of approved make including Rawl plugs, screws or any other approved device for Fixing arrangements.</t>
    </r>
  </si>
  <si>
    <r>
      <t xml:space="preserve">Supplying and erecting horizontal / vertical mounting </t>
    </r>
    <r>
      <rPr>
        <b/>
        <sz val="10"/>
        <rFont val="Arial"/>
        <family val="2"/>
      </rPr>
      <t>(Floor / Wall mounted  )</t>
    </r>
    <r>
      <rPr>
        <sz val="10"/>
        <rFont val="Arial"/>
        <family val="2"/>
      </rPr>
      <t xml:space="preserve"> type storage</t>
    </r>
    <r>
      <rPr>
        <b/>
        <sz val="10"/>
        <rFont val="Arial"/>
        <family val="2"/>
      </rPr>
      <t xml:space="preserve"> Water heater</t>
    </r>
    <r>
      <rPr>
        <sz val="10"/>
        <rFont val="Arial"/>
        <family val="2"/>
      </rPr>
      <t xml:space="preserve"> </t>
    </r>
    <r>
      <rPr>
        <b/>
        <sz val="10"/>
        <rFont val="Arial"/>
        <family val="2"/>
      </rPr>
      <t>(Geyser)</t>
    </r>
    <r>
      <rPr>
        <sz val="10"/>
        <rFont val="Arial"/>
        <family val="2"/>
      </rPr>
      <t xml:space="preserve"> with copper container housed in M.S./S.S./ABS body insulated with glass wool/puff complete with heating elements, adjustable thermostats </t>
    </r>
    <r>
      <rPr>
        <b/>
        <sz val="10"/>
        <rFont val="Arial"/>
        <family val="2"/>
      </rPr>
      <t>30ºC to 80ºC,</t>
    </r>
    <r>
      <rPr>
        <sz val="10"/>
        <rFont val="Arial"/>
        <family val="2"/>
      </rPr>
      <t xml:space="preserve"> indicating lamp, safety valve, fusible plug, etc. Complete erected with coach bolts, nuts. washers &amp; cementation.
</t>
    </r>
    <r>
      <rPr>
        <b/>
        <sz val="10"/>
        <rFont val="Arial"/>
        <family val="2"/>
      </rPr>
      <t>Voltage / Frequency (V/Hz) :	 230V / 50Hz</t>
    </r>
  </si>
  <si>
    <t>06 Ltrs</t>
  </si>
  <si>
    <t>10 Ltrs</t>
  </si>
  <si>
    <t>25 Ltrs</t>
  </si>
  <si>
    <t>d</t>
  </si>
  <si>
    <t>50 Ltrs</t>
  </si>
  <si>
    <r>
      <t xml:space="preserve">Supply and Fixing of </t>
    </r>
    <r>
      <rPr>
        <b/>
        <sz val="10"/>
        <rFont val="Arial"/>
        <family val="2"/>
      </rPr>
      <t>soap dish</t>
    </r>
  </si>
  <si>
    <r>
      <t xml:space="preserve">Supply and Fixing of liquid </t>
    </r>
    <r>
      <rPr>
        <b/>
        <sz val="10"/>
        <rFont val="Arial"/>
        <family val="2"/>
      </rPr>
      <t>soap dispenser</t>
    </r>
  </si>
  <si>
    <r>
      <t xml:space="preserve">Providing  and  fixing Heavy class </t>
    </r>
    <r>
      <rPr>
        <b/>
        <sz val="10"/>
        <rFont val="Arial"/>
        <family val="2"/>
      </rPr>
      <t xml:space="preserve"> SS grating with Collar 150 x 150 mm </t>
    </r>
    <r>
      <rPr>
        <sz val="10"/>
        <rFont val="Arial"/>
        <family val="2"/>
      </rPr>
      <t>of  approved make, (cockroach trap) including setting in floor with cement mortar  to  match with floor finish as per architect requirements.</t>
    </r>
  </si>
  <si>
    <r>
      <t xml:space="preserve">Providing  and  fixing Heavy class  </t>
    </r>
    <r>
      <rPr>
        <b/>
        <sz val="10"/>
        <rFont val="Arial"/>
        <family val="2"/>
      </rPr>
      <t>SS single piece grating 150 x 150 mm size</t>
    </r>
    <r>
      <rPr>
        <sz val="10"/>
        <rFont val="Arial"/>
        <family val="2"/>
      </rPr>
      <t xml:space="preserve"> of  approved make, including setting in floor with cement mortar  to  match with floor finish as per architect requirements.</t>
    </r>
  </si>
  <si>
    <t>TOTAL OF SECTION-A 
SANITARY FIXTURES &amp; CP FITTINGS CARRIED OVER TO SUMMARY</t>
  </si>
  <si>
    <t>B</t>
  </si>
  <si>
    <t>WATER SUPPLY :</t>
  </si>
  <si>
    <t>WATER SUPPLY (INTERNAL &amp; EXTERNAL) :</t>
  </si>
  <si>
    <t>CPVC Pipe Internal :</t>
  </si>
  <si>
    <t>Providing and fixing, to wall, ceiling and floor, approved make, CPVC SDR 11 pipes and fittings, conforming to ASTM D 2846, for sizes up to 50 mm and  Sch 80 piping for sizes above 50 mm confirming to ASTM F441, for hot and cold water supplies for all internals including jointing with CPVC solvent cement as per manufacturer recommendation ensuring airtight joints, with necessary specials, couplers, unions, elbow, equal tees, adapter (both male and female), reducer (single stage, double stage and triple stage), end cap, fabricated bend, etc., All termination points shall have Brass inserts fittings including testing,  cutting and chasing in wall and floors with diamond cutter &amp; making good the same by using 1:1  cement mortar over the fibber mesh, ceiling and floor etc. complete of the following nominal pipe size:</t>
  </si>
  <si>
    <t xml:space="preserve">Galvanised rubber sleeved clamps/ u bolts, brackets, passivated fasteners &amp; direction arrows of appropriate size and spacing as directed by E-I-C shall be included in the price </t>
  </si>
  <si>
    <t>15 mm (NB)</t>
  </si>
  <si>
    <t>Rmt.</t>
  </si>
  <si>
    <t>20 mm (NB)</t>
  </si>
  <si>
    <t>25 mm (NB)</t>
  </si>
  <si>
    <t>32 mm (NB)</t>
  </si>
  <si>
    <t>e</t>
  </si>
  <si>
    <t>40 mm (NB)</t>
  </si>
  <si>
    <t>f</t>
  </si>
  <si>
    <t>50 mm (NB)</t>
  </si>
  <si>
    <t>CPVC Pipe External (For Shaft, Terrace, Basement) :</t>
  </si>
  <si>
    <t>g</t>
  </si>
  <si>
    <t>65 mm (NB)</t>
  </si>
  <si>
    <t>h</t>
  </si>
  <si>
    <t>80 mm (NB)</t>
  </si>
  <si>
    <t>i</t>
  </si>
  <si>
    <t>100 mm (NB)</t>
  </si>
  <si>
    <t>j</t>
  </si>
  <si>
    <t>150 mm (NB)</t>
  </si>
  <si>
    <r>
      <t xml:space="preserve">Providing and fixing </t>
    </r>
    <r>
      <rPr>
        <b/>
        <sz val="10"/>
        <rFont val="Arial"/>
        <family val="2"/>
      </rPr>
      <t>Viega Speed press Multi Layer Pipe (ML PE-RT-PIPE)</t>
    </r>
    <r>
      <rPr>
        <sz val="10"/>
        <rFont val="Arial"/>
        <family val="2"/>
      </rPr>
      <t xml:space="preserve"> for up to 25mm dia &amp; above 25mm dia Pexfit Pro Fosta Pipe) system with SC-Contur such as sockets, bends,  elbows, tees, reducers, unions, flanges, clamps / structural steel supports, hangers, etc. necessary adapters for PB / copper to CP fittings, jointing, sundries, cutting holes in walls / floors / slabs and making good including wrapping with polyethene sheet tape etc. complete for the following nominal bore(NB):</t>
    </r>
  </si>
  <si>
    <t>15 mm dia</t>
  </si>
  <si>
    <t>20 mm dia</t>
  </si>
  <si>
    <t>25 mm dia</t>
  </si>
  <si>
    <t>32 mm dia</t>
  </si>
  <si>
    <t>40 mm dia</t>
  </si>
  <si>
    <t>50 mm dia</t>
  </si>
  <si>
    <r>
      <t xml:space="preserve">Providing, fixing, testing and commissioning </t>
    </r>
    <r>
      <rPr>
        <b/>
        <sz val="10"/>
        <rFont val="Arial"/>
        <family val="2"/>
      </rPr>
      <t>Co-extruded polyethylene composite pressure pipe,</t>
    </r>
    <r>
      <rPr>
        <sz val="10"/>
        <rFont val="Arial"/>
        <family val="2"/>
      </rPr>
      <t xml:space="preserve"> as per manufacturer’s specifications meeting the requirements of IS: 15450 having welded aluminium tube reinforcement between inner and outer polyethylene layers being bonded to Aluminium tube by a melt adhesive with welded aluminium tube of itself being capable of sustaining internal pressures. Capable to withstand temperature up to 80° c. Outer layer of pipes shall be black and must have required percentage of carbon black as UV stabiliser to make it safe to use for outdoor as well as concealed installations. Including all crimp ( With SS Crimp Ring) /compression type internal sealing composite/ Brass fittings e.g. elbows, tees, reducers, couplers &amp; connectors etc. with clamp &amp; Spacing: as required complete</t>
    </r>
  </si>
  <si>
    <t>65 mm dia</t>
  </si>
  <si>
    <t>80 mm dia</t>
  </si>
  <si>
    <r>
      <t xml:space="preserve">Providing  and  fixing  </t>
    </r>
    <r>
      <rPr>
        <b/>
        <sz val="10"/>
        <rFont val="Arial"/>
        <family val="2"/>
      </rPr>
      <t>Stainless  Steel   pipes  Make-  Viega  Sanpress  Inox</t>
    </r>
    <r>
      <rPr>
        <sz val="10"/>
        <rFont val="Arial"/>
        <family val="2"/>
      </rPr>
      <t xml:space="preserve"> confirming to EN 10312 Material No.1.4401(X5 CrNiMo 17-12-2) with 2.3% Mo(S.S.Grade-316), complete   with   Press   Type   fittings   Make-   Viega Sanpress Inox Material No.1.4401  suitable for doubley secure pressing (two pressings simultaneously– one in front of the crimp and one behind it) for torsion proof and longitudinally forcelocked connection. With Black;EPDM Sealing  Element  with  SC-Contur  in  accordance  with  DVGW  regulation W534,  DW 8501  BL  0551,  DW 8511  BQ  0245)  for  Hot  and Cold water supply  capable to withstand temperature up to 90 degree centigrade and working pressure 16 bar,  such as sockets, bends,  elbows, tees, reducers, unions, Flanges    etc.    necessary    adapters    for    GI/Copper    and    CP fittings. Clamps   with   hanger   at   a   spacing    as   required, jointing, sundries, cutting  holes  in  walls/floors/slabs  &amp;  making  good  complete.</t>
    </r>
  </si>
  <si>
    <t>22 mm outer dia pipe</t>
  </si>
  <si>
    <t>28 mm outer dia pipe</t>
  </si>
  <si>
    <t>35 mm outer dia pipe</t>
  </si>
  <si>
    <t>42 mm outer dia pipe</t>
  </si>
  <si>
    <t>54 mm outer dia pipe</t>
  </si>
  <si>
    <t>Thermal Insulation on  Embedded in Wall</t>
  </si>
  <si>
    <r>
      <t xml:space="preserve">Providing &amp; fixing </t>
    </r>
    <r>
      <rPr>
        <b/>
        <sz val="10"/>
        <rFont val="Arial"/>
        <family val="2"/>
      </rPr>
      <t xml:space="preserve">thermal insulation of nitrile rubber (Class "O") of approved make </t>
    </r>
    <r>
      <rPr>
        <sz val="10"/>
        <rFont val="Arial"/>
        <family val="2"/>
      </rPr>
      <t>on hot water pipes. Size of insulation tube to be matched / suitable to pipe size.
(wrapping of polyglass/other tape to protect insulation shall be paid separately)</t>
    </r>
  </si>
  <si>
    <t>15mm (OD) [6mm thick insulation]</t>
  </si>
  <si>
    <t>20mm (OD) [6mm thick insulation]</t>
  </si>
  <si>
    <t>25 mm (OD) [6mm thick insulation]</t>
  </si>
  <si>
    <t>Thermal Insulation on pipe (Exposed)</t>
  </si>
  <si>
    <r>
      <t xml:space="preserve">Providing &amp; fixing </t>
    </r>
    <r>
      <rPr>
        <b/>
        <sz val="10"/>
        <rFont val="Arial"/>
        <family val="2"/>
      </rPr>
      <t xml:space="preserve">thermal insulation of nitrile rubber (Class "O") of approved make </t>
    </r>
    <r>
      <rPr>
        <sz val="10"/>
        <rFont val="Arial"/>
        <family val="2"/>
      </rPr>
      <t>on hot / cold water pipes. Size of insulation tube to be matched / suitable to pipe size.
(wrapping of polyglass/other tape to protect insulation shall be paid separately)</t>
    </r>
  </si>
  <si>
    <t>15 mm Dia (9mm Thick Insulation)</t>
  </si>
  <si>
    <t>20 mm Dia (9mm Thick Insulation)</t>
  </si>
  <si>
    <t>25 mm Dia (9mm Thick Insulation)</t>
  </si>
  <si>
    <t>32 mm Dia (13mm Thick Insulation)</t>
  </si>
  <si>
    <t>40 mm Dia (13mm Thick Insulation)</t>
  </si>
  <si>
    <t>Rmt</t>
  </si>
  <si>
    <t>50 mm Dia (13mm Thick Insulation)</t>
  </si>
  <si>
    <t>65 mm Dia (19mm Thick Insulation)</t>
  </si>
  <si>
    <t>80 mm Dia (19mm Thick Insulation)</t>
  </si>
  <si>
    <t>100 mm Dia (19mm Thick Insulation)</t>
  </si>
  <si>
    <r>
      <t xml:space="preserve">Providing and fixing proprietary </t>
    </r>
    <r>
      <rPr>
        <b/>
        <sz val="10"/>
        <rFont val="Arial"/>
        <family val="2"/>
      </rPr>
      <t>polyshield tape for outer mechanical protection</t>
    </r>
    <r>
      <rPr>
        <sz val="10"/>
        <rFont val="Arial"/>
        <family val="2"/>
      </rPr>
      <t xml:space="preserve"> on nitrile rubber insulation comprising of wrapping with poly glass tape.</t>
    </r>
  </si>
  <si>
    <t>15 mm Dia</t>
  </si>
  <si>
    <t>20 mm Dia</t>
  </si>
  <si>
    <t xml:space="preserve">25 mm Dia </t>
  </si>
  <si>
    <t>32 mm Dia</t>
  </si>
  <si>
    <t xml:space="preserve">40 mm Dia </t>
  </si>
  <si>
    <t xml:space="preserve">50 mm Dia </t>
  </si>
  <si>
    <t>65 mm Dia</t>
  </si>
  <si>
    <t>80 mm Dia</t>
  </si>
  <si>
    <t>100 mm Dia</t>
  </si>
  <si>
    <r>
      <t xml:space="preserve">Providing, fixing, testing and commissioning of </t>
    </r>
    <r>
      <rPr>
        <b/>
        <sz val="10"/>
        <rFont val="Arial"/>
        <family val="2"/>
      </rPr>
      <t xml:space="preserve">full way lever operated forged brass ball valve </t>
    </r>
    <r>
      <rPr>
        <sz val="10"/>
        <rFont val="Arial"/>
        <family val="2"/>
      </rPr>
      <t>of brass body with forged brass hard chrome-plated steel ball working pressure not less than 10 Kg / sqcm with threaded / flanged joints complete with nuts, bolts, gaskets, washers etc.</t>
    </r>
  </si>
  <si>
    <t xml:space="preserve"> 15 mm dia</t>
  </si>
  <si>
    <t xml:space="preserve"> 20 mm dia</t>
  </si>
  <si>
    <t xml:space="preserve"> 25 mm dia</t>
  </si>
  <si>
    <t xml:space="preserve"> 32 mm dia</t>
  </si>
  <si>
    <t xml:space="preserve"> 40 mm dia</t>
  </si>
  <si>
    <t xml:space="preserve"> 50 mm dia</t>
  </si>
  <si>
    <r>
      <t xml:space="preserve">Providing and fixing </t>
    </r>
    <r>
      <rPr>
        <b/>
        <sz val="10"/>
        <rFont val="Arial"/>
        <family val="2"/>
      </rPr>
      <t>CS three piece ball valve</t>
    </r>
    <r>
      <rPr>
        <sz val="10"/>
        <rFont val="Arial"/>
        <family val="2"/>
      </rPr>
      <t xml:space="preserve"> with moulded PTFE seat and SS ball, Including necessary nipple, coupling, union etc.</t>
    </r>
  </si>
  <si>
    <r>
      <t xml:space="preserve">Supply, Installing, testing and commissioning </t>
    </r>
    <r>
      <rPr>
        <b/>
        <sz val="10"/>
        <rFont val="Arial"/>
        <family val="2"/>
      </rPr>
      <t>C.I butterfly valve (Lever operated),</t>
    </r>
    <r>
      <rPr>
        <sz val="10"/>
        <rFont val="Arial"/>
        <family val="2"/>
      </rPr>
      <t xml:space="preserve"> wafer end type class PN 16 as per I.S:13095 or BS:5155, including providing of necessary flanges, nuts &amp; bolts (GI), gaskets etc., complete (including cost of flanges) as per drawings, specification and as directed by the Engineer's Representative.</t>
    </r>
  </si>
  <si>
    <t xml:space="preserve">80 mm dia </t>
  </si>
  <si>
    <t xml:space="preserve">100 mm dia </t>
  </si>
  <si>
    <t xml:space="preserve">150 mm dia </t>
  </si>
  <si>
    <r>
      <t xml:space="preserve">Supply, Installing, testing and commissioning </t>
    </r>
    <r>
      <rPr>
        <b/>
        <sz val="10"/>
        <rFont val="Arial"/>
        <family val="2"/>
      </rPr>
      <t>C.I butterfly valve (Gear operated),</t>
    </r>
    <r>
      <rPr>
        <sz val="10"/>
        <rFont val="Arial"/>
        <family val="2"/>
      </rPr>
      <t xml:space="preserve"> wafer end type class PN 16 as per I.S:13095 or BS:5155, including providing of necessary flanges, nuts &amp; bolts (GI), gaskets etc., complete (including cost of flanges) as per drawings, specification and as directed by the Engineer's Representative.</t>
    </r>
  </si>
  <si>
    <t>150 mm dia</t>
  </si>
  <si>
    <t>200 mm dia</t>
  </si>
  <si>
    <t>250 mm dia</t>
  </si>
  <si>
    <r>
      <t xml:space="preserve">Supply , installation ,testing &amp; Commissioning </t>
    </r>
    <r>
      <rPr>
        <b/>
        <sz val="10"/>
        <rFont val="Arial"/>
        <family val="2"/>
      </rPr>
      <t>Slow closing motorised butterfly</t>
    </r>
    <r>
      <rPr>
        <sz val="10"/>
        <rFont val="Arial"/>
        <family val="2"/>
      </rPr>
      <t xml:space="preserve"> valve (with bypass arrangement Consisting of 3 nos. Manual Butterfly Valve ) rating PN 1.6  with float type sensors suitable for 240 volts  with working pressure  rating of  not less than 5 kg/cm2 with control panel  and sensors to open valve when  water level is low in tanks  and to close when water level is high in  water  tanks including butterfly valves,  necessary 1.0 Sqm Wires /cables,  conduits, up to junction box etc. complete. (up to 15 mt qty approx.) .valve is compatible to BMS System.
 type : Wafer type 
Operation : Electrical Actuator based
body : S.G. Iron
Actuator Base : Carban Steel
disc : Stainless steel
Electrical Panel : IP67 protection
Body Lining : EPDM</t>
    </r>
  </si>
  <si>
    <t>100 mm dia</t>
  </si>
  <si>
    <r>
      <t xml:space="preserve">Providing and fixing brass </t>
    </r>
    <r>
      <rPr>
        <b/>
        <sz val="10"/>
        <rFont val="Arial"/>
        <family val="2"/>
      </rPr>
      <t>Auto air vent valve</t>
    </r>
    <r>
      <rPr>
        <sz val="10"/>
        <rFont val="Arial"/>
        <family val="2"/>
      </rPr>
      <t xml:space="preserve"> rated for PN 10 including Brass ball valve, nipple, etc. all fitting &amp; accessories.</t>
    </r>
  </si>
  <si>
    <t xml:space="preserve">15 mm dia </t>
  </si>
  <si>
    <t xml:space="preserve">20 mm dia </t>
  </si>
  <si>
    <t xml:space="preserve">25 mm dia </t>
  </si>
  <si>
    <r>
      <t>Supplying and fixing Prayag make High Pressure rated</t>
    </r>
    <r>
      <rPr>
        <b/>
        <sz val="10"/>
        <rFont val="Arial"/>
        <family val="2"/>
      </rPr>
      <t xml:space="preserve"> PVC ball float valve</t>
    </r>
    <r>
      <rPr>
        <sz val="10"/>
        <rFont val="Arial"/>
        <family val="2"/>
      </rPr>
      <t xml:space="preserve"> with and brass rods of required length suitable for Test pressure of not less than 10 kg/sq cm. of the following sizes.</t>
    </r>
  </si>
  <si>
    <r>
      <t xml:space="preserve">Providing and fixing </t>
    </r>
    <r>
      <rPr>
        <b/>
        <sz val="10"/>
        <rFont val="Arial"/>
        <family val="2"/>
      </rPr>
      <t>CI Dual plate wafer type non return valve / check valve</t>
    </r>
    <r>
      <rPr>
        <sz val="10"/>
        <rFont val="Arial"/>
        <family val="2"/>
      </rPr>
      <t xml:space="preserve"> [PN 16] With SS-304 Discs and Nitrile Rubber Lining with Bronze Disc, Seat Test Pressure 16 Kg/cm2g tested to 24 Kg/Sq.cm pressure complete with all fitting and accessories i.e. rubber gasket, flanges, union, nuts, bolts, washer etc.</t>
    </r>
  </si>
  <si>
    <r>
      <t xml:space="preserve">Providing, fixing, jointing and testing, PN-10 pressure rating heavy quality </t>
    </r>
    <r>
      <rPr>
        <b/>
        <sz val="10"/>
        <rFont val="Arial"/>
        <family val="2"/>
      </rPr>
      <t xml:space="preserve">Brass multi utility non return valve / Check valve </t>
    </r>
    <r>
      <rPr>
        <sz val="10"/>
        <rFont val="Arial"/>
        <family val="2"/>
      </rPr>
      <t>confirming to IS 778, with screwed end, Test Pressure : Shell : 15 kg/cm², Seat : 10 kg/cm² on water supply lines of the following nominal bore (NB) size:</t>
    </r>
  </si>
  <si>
    <t>15 mm</t>
  </si>
  <si>
    <t>20 mm</t>
  </si>
  <si>
    <t>25 mm</t>
  </si>
  <si>
    <t>32 mm</t>
  </si>
  <si>
    <t>40 mm</t>
  </si>
  <si>
    <t>50 mm</t>
  </si>
  <si>
    <r>
      <t xml:space="preserve">Supply, Installing, testing and commissioning of </t>
    </r>
    <r>
      <rPr>
        <b/>
        <sz val="10"/>
        <rFont val="Arial"/>
        <family val="2"/>
      </rPr>
      <t>Solenoid valve</t>
    </r>
    <r>
      <rPr>
        <sz val="10"/>
        <rFont val="Arial"/>
        <family val="2"/>
      </rPr>
      <t xml:space="preserve"> with bypass line including 3 no's of brass ball valve and control panel, including providing of  Brass Adapters, flanges/unions, nuts, bolts and washers complete including electrical work as required for applications.</t>
    </r>
  </si>
  <si>
    <t xml:space="preserve">50 mm dia </t>
  </si>
  <si>
    <r>
      <t>Supplying fixing, Testing and commissioning</t>
    </r>
    <r>
      <rPr>
        <b/>
        <sz val="10"/>
        <rFont val="Arial"/>
        <family val="2"/>
      </rPr>
      <t xml:space="preserve"> Water meter</t>
    </r>
    <r>
      <rPr>
        <sz val="10"/>
        <rFont val="Arial"/>
        <family val="2"/>
      </rPr>
      <t xml:space="preserve"> with direct reading Dial in  KL with all integral parts of Gun metal / brass up to 50mm dia. And C.I body above 50mm dia. with necessary fitting such as Threaded Pieces, union pressure gauge and isolation cock, flange piece for future removal, flanges/union complete for following size pipe line </t>
    </r>
    <r>
      <rPr>
        <b/>
        <sz val="10"/>
        <rFont val="Arial"/>
        <family val="2"/>
      </rPr>
      <t xml:space="preserve">(1 No. strainer , 3 Nos. valves &amp; 2 Nos. Pressure gauge </t>
    </r>
    <r>
      <rPr>
        <sz val="10"/>
        <rFont val="Arial"/>
        <family val="2"/>
      </rPr>
      <t xml:space="preserve">shall be provided at inlet &amp; outlet and cost shall be inclusive for the same).
</t>
    </r>
    <r>
      <rPr>
        <b/>
        <sz val="10"/>
        <rFont val="Arial"/>
        <family val="2"/>
      </rPr>
      <t>Ball valve up to 50mm dia and Butterfly valve above 50mm dia to be considered.</t>
    </r>
  </si>
  <si>
    <r>
      <t>Supply, Installing, testing and commissioning</t>
    </r>
    <r>
      <rPr>
        <b/>
        <sz val="10"/>
        <rFont val="Arial"/>
        <family val="2"/>
      </rPr>
      <t xml:space="preserve"> Pressure Reducing station </t>
    </r>
    <r>
      <rPr>
        <sz val="10"/>
        <rFont val="Arial"/>
        <family val="2"/>
      </rPr>
      <t xml:space="preserve">for water supply comprising of </t>
    </r>
    <r>
      <rPr>
        <b/>
        <sz val="10"/>
        <rFont val="Arial"/>
        <family val="2"/>
      </rPr>
      <t>02 Nos. of PRV with Strainer and 04 Nos. of Brass ball valve</t>
    </r>
    <r>
      <rPr>
        <sz val="10"/>
        <rFont val="Arial"/>
        <family val="2"/>
      </rPr>
      <t xml:space="preserve"> </t>
    </r>
    <r>
      <rPr>
        <b/>
        <sz val="10"/>
        <rFont val="Arial"/>
        <family val="2"/>
      </rPr>
      <t xml:space="preserve">and 2 Nos. of Pressure Gauge </t>
    </r>
    <r>
      <rPr>
        <sz val="10"/>
        <rFont val="Arial"/>
        <family val="2"/>
      </rPr>
      <t xml:space="preserve"> (up to 50mm dia.) &amp; CI butterfly valve (PN16) (Above 50mm dia.) for bypass arrangement. The complete system is tested to a pressure not less than 15 Kg/Cm2 and suitable to reduce the pressure from  3.5 Kg/Cm2 to 1.0 Kg/Cm2(or as desired at site) including providing of  flanges/unions, nuts, bolts and washers complete as required for applications. (Horizontal or vertical as applicable) as per drawings, specification and as directed by the Engineer's Representative.</t>
    </r>
  </si>
  <si>
    <t xml:space="preserve">20 mm </t>
  </si>
  <si>
    <t xml:space="preserve">No. </t>
  </si>
  <si>
    <t xml:space="preserve">25 mm </t>
  </si>
  <si>
    <t xml:space="preserve">32 mm </t>
  </si>
  <si>
    <t xml:space="preserve">40 mm </t>
  </si>
  <si>
    <t xml:space="preserve">50 mm </t>
  </si>
  <si>
    <t xml:space="preserve">65 mm </t>
  </si>
  <si>
    <r>
      <t xml:space="preserve">Supply, Installation, Testing and commissioning of </t>
    </r>
    <r>
      <rPr>
        <b/>
        <sz val="10"/>
        <rFont val="Arial"/>
        <family val="2"/>
      </rPr>
      <t xml:space="preserve"> Water hammer arrestor</t>
    </r>
    <r>
      <rPr>
        <sz val="10"/>
        <rFont val="Arial"/>
        <family val="2"/>
      </rPr>
      <t>, hydro pneumatic air cushion and 'O' ring sealed pistons fixed screwed with unions and fixing accessories, nuts, bolts, gaskets, washers, supports etc., matching flanges to suit the piping material specified and in accordance with specification.</t>
    </r>
  </si>
  <si>
    <r>
      <t xml:space="preserve">Supply , Installation , testing and commissioning of inline flange mounted </t>
    </r>
    <r>
      <rPr>
        <b/>
        <sz val="10"/>
        <rFont val="Arial"/>
        <family val="2"/>
      </rPr>
      <t xml:space="preserve">Electromagnetic flow meter </t>
    </r>
    <r>
      <rPr>
        <sz val="10"/>
        <rFont val="Arial"/>
        <family val="2"/>
      </rPr>
      <t xml:space="preserve">pre-amplifier and microprocessor based suitable for water supply Application.
</t>
    </r>
    <r>
      <rPr>
        <b/>
        <sz val="10"/>
        <rFont val="Arial"/>
        <family val="2"/>
      </rPr>
      <t xml:space="preserve">Specification : 
</t>
    </r>
    <r>
      <rPr>
        <sz val="10"/>
        <rFont val="Arial"/>
        <family val="2"/>
      </rPr>
      <t>Application : Water Supply
Protection : IP 68
Liner : Rubber / PTEF 
Flow tube : SS-316
Accuracy : 0.3% - 0.5%
Power Supply : 220V , 50 Hz
Output : 4-20mA (Integrated to BMS )
LED Display for flow meter : 4 digit Indication .
LED Display for totalizer : 8 digit indication.
Ambient Temperature  : 0-50˚C
Complete with all electrical connection , Accessories , wiring , conduits and support with all respect to make functional. provision of Bypass arrangement in case of maintenance . 
(1 No. strainer , 3 Nos. valves &amp; 2 Nos. Pressure gauge shall be provided at inlet &amp; outlet and cost shall be inclusive for the same).
Ball valve up to 50mm dia and Butterfly valve above 50mm dia to be considered.</t>
    </r>
  </si>
  <si>
    <t xml:space="preserve">80 mm </t>
  </si>
  <si>
    <t>100 mm</t>
  </si>
  <si>
    <t>Construction brick masonry chamber  (for Housing valves &amp; accessories) Valve chamber with 75 class designation brick work in cement mortar 1:5 (1 cement : 5 find sand) for valve, with cover fixed in cement concrete slab 1:2:4 mix (1 cement : 2 coarse sand : 4 graded stone aggregate 20mm nominal size) necessary excavation foundation concrete 1:5:10 (1 cement : 5 fine sand : 10 graded stone aggregate 40mm nominal size) and inside plastering with cement mortar 1:3 (1 cement : 3 coarse sand) 12 mm thick finished with a floating coat of neat cement complete as per standard design. ( Rate to be quoted considering clear size of chambers)</t>
  </si>
  <si>
    <t>300mm x 300mm x up to 1000 mm depth with  300x300 mm size FRP Cover and frame of load bearing capacity capacity of 12.5T fixed in cement.</t>
  </si>
  <si>
    <t>600mm x 600mm x up to 1000 mm depth with  600x600 mm size FRP Cover and frame of load bearing capacity capacity of 12.5T fixed in cement.</t>
  </si>
  <si>
    <t>1200mm x 900mm x up to 1000 mm depth with  600x600 mm size FRP Cover and frame of load bearing capacity capacity of 12.5T fixed in cement.</t>
  </si>
  <si>
    <t>TOTAL OF SECTION-B 
WATER SUPPLY (INTERNAL &amp; EXTERNAL) CARRIED OVER TO SUMMARY</t>
  </si>
  <si>
    <t>C</t>
  </si>
  <si>
    <t xml:space="preserve">INTERNAL &amp; EXTERNAL SEWAGE/DRAINAGE NETWORK: </t>
  </si>
  <si>
    <r>
      <t xml:space="preserve">Supply, installation, testing and commissioning </t>
    </r>
    <r>
      <rPr>
        <b/>
        <sz val="10"/>
        <rFont val="Arial"/>
        <family val="2"/>
      </rPr>
      <t>UPVC pressure pipes of 6Kg/Sq.cm² pressure rating class III (IS : 4985-2000)</t>
    </r>
    <r>
      <rPr>
        <sz val="10"/>
        <rFont val="Arial"/>
        <family val="2"/>
      </rPr>
      <t xml:space="preserve"> including fittings like tees, bends, "Y", cowl, cleanout plug, reducers, bushings, coupling including clamping and supporting as per specifications, jointing with solvent joint, testing etc. complete as directed. 
</t>
    </r>
    <r>
      <rPr>
        <b/>
        <sz val="10"/>
        <rFont val="Arial"/>
        <family val="2"/>
      </rPr>
      <t xml:space="preserve">Note : </t>
    </r>
    <r>
      <rPr>
        <sz val="10"/>
        <rFont val="Arial"/>
        <family val="2"/>
      </rPr>
      <t xml:space="preserve">
1.0 Only Moulded fittings shall be used for all size pipe dia , No fabricated fitting allowed .
2.0 Rigid fabricated MS hot dip galvanized/ painted with 2 coats of synthetic enamel paint over one coat of zinc chromate primer to be provided as per dwg. for pipe sizes 200mm &amp; above.
2.For all shaft every floor shaft signages mention with direction of flow indication.
3.For all basement level every 20mtr and at terrace level every 10mtr flow direction of pipe with type of pipes  to be mentioned by vendor as per direction of site in charge.
(For Terrace , building and basement Suspended lines)</t>
    </r>
  </si>
  <si>
    <t xml:space="preserve">Galvanised rubber sleeved clamps/ u bolts, brackets, passivated fasteners &amp; legend boards shall be included in the price </t>
  </si>
  <si>
    <t>Cutting and chasing in wall and floors with diamond cutter for UPVC  pipes and fittings and making good the same by using 1:1  cement mortar over the mesh.</t>
  </si>
  <si>
    <t>75 mm</t>
  </si>
  <si>
    <t>110 mm</t>
  </si>
  <si>
    <t>160 mm</t>
  </si>
  <si>
    <t>200 mm</t>
  </si>
  <si>
    <t>250 mm</t>
  </si>
  <si>
    <t>300mm</t>
  </si>
  <si>
    <r>
      <t>Supply, installation, testing and commissioning</t>
    </r>
    <r>
      <rPr>
        <b/>
        <sz val="10"/>
        <rFont val="Arial"/>
        <family val="2"/>
      </rPr>
      <t xml:space="preserve"> UPVC pressure pipes of 10 Kg/Sq.cm² pressure rating class V (IS : 4985-2000) </t>
    </r>
    <r>
      <rPr>
        <sz val="10"/>
        <rFont val="Arial"/>
        <family val="2"/>
      </rPr>
      <t>including fittings like tees, bends, "Y", cowl, cleanout plug, reducers, bushings, coupling including clamping and supporting as per specifications, jointing with solvent joint, testing etc. complete as directed. 
Note : 
1.0 Only Moulded fittings shall be used for all size pipe dia , No fabricated fitting allowed .
2.0 Rigid fabricated support MS hot dip galvanized/ painted with 2 coats of synthetic enamel paint over one coat of zinc chromate primer to be provided as per dwg. for pipe sizes 200mm &amp; above.
2.For all shaft every floor shaft signages mention with direction of flow indication.
3.For all basement level every 20mtr and at terrace level every 10mtr flow direction of pipe with type of pipes  to be mentioned by vendor as per direction of site incharge.
(For Terrace , building and basement Suspended lines)</t>
    </r>
  </si>
  <si>
    <t>90 mm</t>
  </si>
  <si>
    <t>250mm</t>
  </si>
  <si>
    <t>k</t>
  </si>
  <si>
    <r>
      <t xml:space="preserve">Providing, fixing, jointing and testing </t>
    </r>
    <r>
      <rPr>
        <b/>
        <sz val="10"/>
        <rFont val="Arial"/>
        <family val="2"/>
      </rPr>
      <t>UPVC traps of self cleansing design</t>
    </r>
    <r>
      <rPr>
        <sz val="10"/>
        <rFont val="Arial"/>
        <family val="2"/>
      </rPr>
      <t xml:space="preserve"> with water seal not less than 50 mm., with or without vent, jointing with appropriate lubricant, cutting chases / hole in floors / slabs and bringing the same  in proper condition and shape after placing the trap in right position in case of suspended / open plumbing. Setting the trap in 1:2:4 CC in case of concealed plumbing , etc. complete, as required. Temporary airtight PVC cover to be provided to prevent dirt entry.</t>
    </r>
  </si>
  <si>
    <t>110x75x50  (Multi Floor Trap)</t>
  </si>
  <si>
    <t>110mm floor trap</t>
  </si>
  <si>
    <t>110 X 110 mm "P" TYPE - P TRAP</t>
  </si>
  <si>
    <r>
      <t xml:space="preserve">Supplying, fixing, testing and commissioning </t>
    </r>
    <r>
      <rPr>
        <b/>
        <sz val="10"/>
        <rFont val="Arial"/>
        <family val="2"/>
      </rPr>
      <t>UPVC multi inlet connection / Height riser / Hopper</t>
    </r>
    <r>
      <rPr>
        <sz val="10"/>
        <rFont val="Arial"/>
        <family val="2"/>
      </rPr>
      <t xml:space="preserve"> (3 or 4 nos. of 50mm / 75mm  dia pipe inlet) made of 110mm dia pipe to be fixed with inlet of "P" trap or Floor trap. Excess connections to be plugged with solid endcap. Inlet to be protected of dust entry with endcap.</t>
    </r>
  </si>
  <si>
    <r>
      <t xml:space="preserve">Providing and fixing </t>
    </r>
    <r>
      <rPr>
        <b/>
        <sz val="10"/>
        <rFont val="Arial"/>
        <family val="2"/>
      </rPr>
      <t>UPVC trap complete with C.I. grating brick masonry</t>
    </r>
    <r>
      <rPr>
        <sz val="10"/>
        <rFont val="Arial"/>
        <family val="2"/>
      </rPr>
      <t xml:space="preserve"> chamber with water tight C.I. cover with frame of 300 x300 mm size (inside) the weight of cover not to be less than 4.50 kg and frame not to be less than 2.70 kg as per standard design: With common burnt clay F.P.S. (non modular) bricks of class designation 7.5 (Chamber depth maximum up to 1000mm including Excavation, backfilling, 100mm thick PCC for chamber, 230mm wall thickness with inside and outside plaster)
</t>
    </r>
    <r>
      <rPr>
        <b/>
        <sz val="10"/>
        <rFont val="Arial"/>
        <family val="2"/>
      </rPr>
      <t>150 X 100 mm "P" TYPE - GULLY TRAP - 100 mm OUTLET</t>
    </r>
  </si>
  <si>
    <r>
      <t>Providing and fixing of</t>
    </r>
    <r>
      <rPr>
        <b/>
        <sz val="10"/>
        <rFont val="Arial"/>
        <family val="2"/>
      </rPr>
      <t xml:space="preserve"> UPVC Bottle Gully Trap</t>
    </r>
    <r>
      <rPr>
        <sz val="10"/>
        <rFont val="Arial"/>
        <family val="2"/>
      </rPr>
      <t xml:space="preserve"> Size 160 x 110 mm</t>
    </r>
  </si>
  <si>
    <r>
      <t xml:space="preserve">Providing and fixing </t>
    </r>
    <r>
      <rPr>
        <b/>
        <sz val="10"/>
        <rFont val="Arial"/>
        <family val="2"/>
      </rPr>
      <t>UPVC clean out plug</t>
    </r>
    <r>
      <rPr>
        <sz val="10"/>
        <rFont val="Arial"/>
        <family val="2"/>
      </rPr>
      <t xml:space="preserve"> with suitable End cap, male threaded joint/reducer with to Pipe/fittings . complete in all respect.</t>
    </r>
  </si>
  <si>
    <t>75 mm dia.</t>
  </si>
  <si>
    <t>100 mm dia.</t>
  </si>
  <si>
    <r>
      <t xml:space="preserve">Providing and fixing </t>
    </r>
    <r>
      <rPr>
        <b/>
        <sz val="10"/>
        <rFont val="Arial"/>
        <family val="2"/>
      </rPr>
      <t>UPVC</t>
    </r>
    <r>
      <rPr>
        <sz val="10"/>
        <rFont val="Arial"/>
        <family val="2"/>
      </rPr>
      <t xml:space="preserve"> </t>
    </r>
    <r>
      <rPr>
        <b/>
        <sz val="10"/>
        <rFont val="Arial"/>
        <family val="2"/>
      </rPr>
      <t>Floor clean out plug</t>
    </r>
    <r>
      <rPr>
        <sz val="10"/>
        <rFont val="Arial"/>
        <family val="2"/>
      </rPr>
      <t xml:space="preserve"> with suitable End cap, male threaded joint/reducer with to Pipe/fittings . complete in all respect.</t>
    </r>
  </si>
  <si>
    <r>
      <t xml:space="preserve">Supply, Installation, testing and commissioning of </t>
    </r>
    <r>
      <rPr>
        <b/>
        <sz val="10"/>
        <rFont val="Arial"/>
        <family val="2"/>
      </rPr>
      <t xml:space="preserve">mineral filled multilayer (PP/PP mineral filled/PP) Polypropylene low noise pipes </t>
    </r>
    <r>
      <rPr>
        <sz val="10"/>
        <rFont val="Arial"/>
        <family val="2"/>
      </rPr>
      <t>As per EN 12056 / EN-1451-1 with Min. density 1.9 gm/cm3 (for noise reduction) with rubber sealing rings as per approved manufacturer recommendation including necessary fittings such as  bends, tees, "y" , Door bends , Cleanouts, plugs , reducers, nuts, bolts, gaskets, supports and plugs etc. Fixing at wall/ ceiling level supported by clamps, "Y" branches, hangers etc. as per the manufacturer  per their recommendation for low noise application for Vertical / Horizontal. Supporting drawings and schematics should be provided as recommended by the Supplier to ensure the low noise application.
Cutting holes and chases in Block work and making good the same to original conditions complete in all respects. 
All hangers, clamps, brackets, anchor/fixed support, guides, rollers etc. shall be of galvanized iron.
Rigid fabricated support MS hot dip galvanized/ painted with 2 coats of synthetic enamel paint over one coat of zinc chromate primer to be provided as per dwg. for pipe sizes 160mm &amp; above.</t>
    </r>
  </si>
  <si>
    <t>40mm</t>
  </si>
  <si>
    <t>50mm</t>
  </si>
  <si>
    <t>63mm</t>
  </si>
  <si>
    <t>75mm</t>
  </si>
  <si>
    <t>110mm</t>
  </si>
  <si>
    <t>125mm</t>
  </si>
  <si>
    <t>160mm</t>
  </si>
  <si>
    <t>200mm</t>
  </si>
  <si>
    <r>
      <t xml:space="preserve">Supply , installation , testing and commissioning </t>
    </r>
    <r>
      <rPr>
        <b/>
        <sz val="10"/>
        <rFont val="Arial"/>
        <family val="2"/>
      </rPr>
      <t xml:space="preserve">Polypropylene (PP) traps </t>
    </r>
    <r>
      <rPr>
        <sz val="10"/>
        <rFont val="Arial"/>
        <family val="2"/>
      </rPr>
      <t>of self cleaning design with Min. 50mm water seal with and without vent arm jointing with push fit rubber ring socket fittings complete, cutting chases / hole in floors / slabs and bringing the same in proper condition and shape after placing the trap in right position in case of suspended / open plumbing. Setting the trap in 1:2:4 CC in case of concealed plumbing , etc. complete, as required. The trap shall be of following sizes: Temporary airtight PVC cover to be provided to prevent dirt entry.</t>
    </r>
  </si>
  <si>
    <t>110 mm Multitrap  ( single 75mm outlet and three 50 mm outlets)</t>
  </si>
  <si>
    <t>110 mm Nahani Trap</t>
  </si>
  <si>
    <t>110 mm "P" Trap</t>
  </si>
  <si>
    <r>
      <t xml:space="preserve">Supplying, fixing, testing and commissioning </t>
    </r>
    <r>
      <rPr>
        <b/>
        <sz val="10"/>
        <rFont val="Arial"/>
        <family val="2"/>
      </rPr>
      <t>Polypropylene (pp) multi inlet connection / Height riser / Hopper</t>
    </r>
    <r>
      <rPr>
        <sz val="10"/>
        <rFont val="Arial"/>
        <family val="2"/>
      </rPr>
      <t xml:space="preserve"> (3 or 4 nos. of 50mm / 75mm dia pipe inlet) made of 110mm dia pipe to be fixed with inlet of "P" trap or Floor trap. Excess connections to be plugged with solid endcap. Inlet to be protected of dust entry with endcap.</t>
    </r>
  </si>
  <si>
    <r>
      <t xml:space="preserve">Providing, fixing, testing and commissioning of </t>
    </r>
    <r>
      <rPr>
        <b/>
        <sz val="10"/>
        <rFont val="Arial"/>
        <family val="2"/>
      </rPr>
      <t>Cast iron centrifugally  Hubless soil, waste &amp; vent  Pipes</t>
    </r>
    <r>
      <rPr>
        <sz val="10"/>
        <rFont val="Arial"/>
        <family val="2"/>
      </rPr>
      <t xml:space="preserve"> (conforming to IS: 15905 – 2011/  ISO 6594) cut to required lengths including all fittings  such as bends, junctions, inspection doors, , cowls, access pieces /plugs etc.  Fittings  including jointing with stainless steel coupling with EPDM Rubber gasket, clamps, tie rod, Anchor fastener etc as required/directed at site including testing complete. 
(Horizontal &amp; Vertical Soil, Waste, Vent &amp; Pipe).</t>
    </r>
  </si>
  <si>
    <t>In case of requirement of structural steel supports, shall be paid separately</t>
  </si>
  <si>
    <t xml:space="preserve">75 mm dia </t>
  </si>
  <si>
    <t xml:space="preserve">200 mm dia </t>
  </si>
  <si>
    <t xml:space="preserve">250 mm dia </t>
  </si>
  <si>
    <t xml:space="preserve">300 mm dia </t>
  </si>
  <si>
    <r>
      <t xml:space="preserve">Providing and fixing </t>
    </r>
    <r>
      <rPr>
        <b/>
        <sz val="10"/>
        <rFont val="Arial"/>
        <family val="2"/>
      </rPr>
      <t>Cast  Hubless clean out plug with suitable</t>
    </r>
    <r>
      <rPr>
        <sz val="10"/>
        <rFont val="Arial"/>
        <family val="2"/>
      </rPr>
      <t xml:space="preserve"> insert keys for opening in End cap, male threaded joint/reducer with to Pipe/fittings . complete in all respect.</t>
    </r>
  </si>
  <si>
    <r>
      <t>Supplying and laying Single wall corrugated</t>
    </r>
    <r>
      <rPr>
        <b/>
        <sz val="10"/>
        <rFont val="Arial"/>
        <family val="2"/>
      </rPr>
      <t xml:space="preserve"> PVC Perforated sub-surface drainage pipe </t>
    </r>
    <r>
      <rPr>
        <sz val="10"/>
        <rFont val="Arial"/>
        <family val="2"/>
      </rPr>
      <t>Manufactured as per IS 9271 – 2004 pre-wrapped Geo-Textile filter made from minimum 2.5mm thick and weight not less than 250 GSM Polyester fibber including required fittings Confirming to IS 9271 with laying of 300 GSM GEO textile and pebbles (size- 20mm to 30mm including necessary excavation (minimum 600mm wide and 600mm deep) as shown in the drawing or as per direction of engineer in charge.</t>
    </r>
  </si>
  <si>
    <t>65mm</t>
  </si>
  <si>
    <t>80mm</t>
  </si>
  <si>
    <t>100mm</t>
  </si>
  <si>
    <r>
      <t xml:space="preserve">Providing and laying of </t>
    </r>
    <r>
      <rPr>
        <b/>
        <sz val="10"/>
        <rFont val="Arial"/>
        <family val="2"/>
      </rPr>
      <t xml:space="preserve"> Foam Core Pipe PVC self fit pipe as per</t>
    </r>
    <r>
      <rPr>
        <sz val="10"/>
        <rFont val="Arial"/>
        <family val="2"/>
      </rPr>
      <t xml:space="preserve"> IS:16098 class SN-8 pipes to the specified invert level and slope and full leak proof joining with rubber ring click ring jointing etc., complete with testing. With proper bedding work at 1mtr interval. including necessary excavation depth up to 1500 mm in all types of soil, dewatering, backfilling, watering, ramming/compaction, removing the surplus excavated material up to a lead of 50 m complete as required</t>
    </r>
  </si>
  <si>
    <t>315mm</t>
  </si>
  <si>
    <r>
      <t xml:space="preserve">Providing, Fixing, testing and commissioning and laying </t>
    </r>
    <r>
      <rPr>
        <b/>
        <sz val="10"/>
        <rFont val="Arial"/>
        <family val="2"/>
      </rPr>
      <t>DWC pipes</t>
    </r>
    <r>
      <rPr>
        <sz val="10"/>
        <rFont val="Arial"/>
        <family val="2"/>
      </rPr>
      <t xml:space="preserve"> EN 13476 Part –3; SN-4 including testing of pipes and joints etc. complete with the necessary excavation, providing and laying PCC (1:4:8), laying, refilling, compaction, dewatering, curing, retesting and disposal of any excess earth/soil from the site as per specifications and as directed by Engineer In Charge.</t>
    </r>
  </si>
  <si>
    <t>300 mm.</t>
  </si>
  <si>
    <t>230 mm.</t>
  </si>
  <si>
    <t>150 mm.</t>
  </si>
  <si>
    <t>110 mm.</t>
  </si>
  <si>
    <r>
      <t xml:space="preserve">Supply , installation , testing and commissioning of </t>
    </r>
    <r>
      <rPr>
        <b/>
        <sz val="10"/>
        <rFont val="Arial"/>
        <family val="2"/>
      </rPr>
      <t>ready made poly concreate podium/basement floor</t>
    </r>
    <r>
      <rPr>
        <sz val="10"/>
        <rFont val="Arial"/>
        <family val="2"/>
      </rPr>
      <t xml:space="preserve"> ( 150mm wide x 55mm ) deep swale drain including all fitting and accessories as per approved make and specification .</t>
    </r>
  </si>
  <si>
    <r>
      <t xml:space="preserve">Supply , installation , testing and commissioning of </t>
    </r>
    <r>
      <rPr>
        <b/>
        <sz val="10"/>
        <rFont val="Arial"/>
        <family val="2"/>
      </rPr>
      <t>single slot drain channel</t>
    </r>
    <r>
      <rPr>
        <sz val="10"/>
        <rFont val="Arial"/>
        <family val="2"/>
      </rPr>
      <t xml:space="preserve"> (with 10mm drainage slot and 150mm channel) with surface element to fix in the finish floor and underlying channel component complete with support frame, drain pipe connection arrangement and other accessories of approved make including matching of inverts as per dwgs and site conditions</t>
    </r>
  </si>
  <si>
    <r>
      <t xml:space="preserve">Supply , installation , testing and commissioning of </t>
    </r>
    <r>
      <rPr>
        <b/>
        <sz val="10"/>
        <rFont val="Arial"/>
        <family val="2"/>
      </rPr>
      <t>top slots drain Polymer concrete</t>
    </r>
    <r>
      <rPr>
        <sz val="10"/>
        <rFont val="Arial"/>
        <family val="2"/>
      </rPr>
      <t xml:space="preserve"> </t>
    </r>
    <r>
      <rPr>
        <b/>
        <sz val="10"/>
        <rFont val="Arial"/>
        <family val="2"/>
      </rPr>
      <t xml:space="preserve">drainage channel </t>
    </r>
    <r>
      <rPr>
        <sz val="10"/>
        <rFont val="Arial"/>
        <family val="2"/>
      </rPr>
      <t xml:space="preserve">/ Modified without edge protection Suitable for the C*250 Load class and conform to the EN 1433 including End Cap for Channel end with preformed knockouts dia  suitable for channel body , All related item with respect to top slot drain are included in given running meter and as per standard drawing and installation direction of site incharge . Installation height will be varies as per Gradient slope at existing site. </t>
    </r>
  </si>
  <si>
    <t>150mm Wide drain channel</t>
  </si>
  <si>
    <t>200mm Wide drain channel</t>
  </si>
  <si>
    <t>250mm Wide drain channel ( Double slot )</t>
  </si>
  <si>
    <t>300mm Wide drain channel ( Double slot )</t>
  </si>
  <si>
    <t>350mm Wide drain channel ( Double slot )</t>
  </si>
  <si>
    <t>400mm Wide drain channel ( Double slot )</t>
  </si>
  <si>
    <t>450mm Wide drain channel ( Double slot )</t>
  </si>
  <si>
    <t>600mm Wide drain channel ( Double slot )</t>
  </si>
  <si>
    <r>
      <t xml:space="preserve">Providing laying (to level or slopes) and jointing </t>
    </r>
    <r>
      <rPr>
        <b/>
        <sz val="10"/>
        <rFont val="Arial"/>
        <family val="2"/>
      </rPr>
      <t>Reinforced Cement Concrete</t>
    </r>
    <r>
      <rPr>
        <sz val="10"/>
        <rFont val="Arial"/>
        <family val="2"/>
      </rPr>
      <t xml:space="preserve"> medium to heavy duty  non-pressure pipes I.S. </t>
    </r>
    <r>
      <rPr>
        <b/>
        <sz val="10"/>
        <rFont val="Arial"/>
        <family val="2"/>
      </rPr>
      <t>Class NP3</t>
    </r>
    <r>
      <rPr>
        <sz val="10"/>
        <rFont val="Arial"/>
        <family val="2"/>
      </rPr>
      <t xml:space="preserve"> of the following internal diameter with collars and butt ends prepared for collar joints including testing of joints complete.</t>
    </r>
  </si>
  <si>
    <t xml:space="preserve">150 mm dia RCC pipe </t>
  </si>
  <si>
    <t xml:space="preserve">200 mm dia RCC pipe </t>
  </si>
  <si>
    <t xml:space="preserve">250 mm dia RCC pipe </t>
  </si>
  <si>
    <t xml:space="preserve">300 mm dia RCC pipe </t>
  </si>
  <si>
    <t xml:space="preserve">400 mm dia RCC pipe </t>
  </si>
  <si>
    <t xml:space="preserve">500 mm dia RCC pipe </t>
  </si>
  <si>
    <t xml:space="preserve">600 mm dia RCC pipe </t>
  </si>
  <si>
    <t>Earth Work in Excavation of required width for storm water, sewerage, water supply pipes at bottom depth up to 1.5 m including getting out the excavated soil and Refilling the soil as required in layer disposing of surplus excavated soil as directed within a lead of 50 m for all kinds of soil.</t>
  </si>
  <si>
    <t>Pipes, exceeding 80 mm dia but not exceeding 300 mm dia.</t>
  </si>
  <si>
    <t>Pipes, exceeding 300 mm dia but not exceeding 600 mm dia.</t>
  </si>
  <si>
    <t>Earth Work in Excavation of required width for storm water, sewerage, water supply pipes at bottom depth 1.5 m to 3m including getting out the excavated soil and Refilling the soil as required in layer disposing of surplus excavated soil as directed within a lead of 50 m for all kinds of soil.</t>
  </si>
  <si>
    <t>Providing and laying cement concrete 1:4:8 mix ( 1 coarse cement : 4 coarse Sand : 8 graded stone aggregate) for bed concrete or / and encasing including required shuttering, curing etc. complete as directed for all heights and depths.</t>
  </si>
  <si>
    <t>m³</t>
  </si>
  <si>
    <r>
      <t xml:space="preserve">Constructing brick masonry </t>
    </r>
    <r>
      <rPr>
        <b/>
        <sz val="10"/>
        <rFont val="Arial"/>
        <family val="2"/>
      </rPr>
      <t>manhole</t>
    </r>
    <r>
      <rPr>
        <sz val="10"/>
        <rFont val="Arial"/>
        <family val="2"/>
      </rPr>
      <t xml:space="preserve"> with bricks of class designation 75 in cement mortar 1:5 (1 cement : 5 coarse sand) with RCC top slab of 1:2:4 mix (1 coarse cement : 2 coarse sand : 4 graded stone aggregate 20mm nominal size), 150 mm thick foundation concrete 1:4:8 mix (1 coarse cement : 4 coarse sand : 8 graded stone aggregate 40 mm nominal size), inside and outside plastering 12mm thick in cement mortar 1:3 (1 coarse cement : 3 coarse sand) finished with a floating coat of neat cement inside and rough plaster on outside and making channel in cement concrete 1:2:4 mix, (1 coarse cement : 2 coarse sand : 4 graded stone aggregate 20 mm nominal size) neatly finished complete M.S plastic coated foot rests, complete as per standard design and approved drawings, including the cost of excavation, back filling, disposal of surplus earth, foot rests and other associated civil works including centering shuttering all complete.</t>
    </r>
  </si>
  <si>
    <t>600 x 600 x up to 1000 mm deep.</t>
  </si>
  <si>
    <t>900 x 800 x up to 1200 mm deep.</t>
  </si>
  <si>
    <t>1200 x 900 x up to 1500 mm deep.</t>
  </si>
  <si>
    <r>
      <t>Construction of Catch Basin</t>
    </r>
    <r>
      <rPr>
        <b/>
        <sz val="10"/>
        <rFont val="Arial"/>
        <family val="2"/>
      </rPr>
      <t xml:space="preserve"> ( Road gully chamber )</t>
    </r>
    <r>
      <rPr>
        <sz val="10"/>
        <rFont val="Arial"/>
        <family val="2"/>
      </rPr>
      <t xml:space="preserve">  of the following sizes in brick work in cement mortar 1:5 necessary 150mm thickness foundation concrete (1:4:8),  150mm wall thickness   inside plastering 15 mm thick with cement mortar 1:4 and rough plaster 20 mm thick on outside with a floating of neat cement. Including necessary excavation in all soil types, dewatering, refilling, watering, ramming, removing the surplus excavated material up to a lead of 100 m and making good the same complete as required. The required depth of catch basin varies from 450 to 900mm . The rate includes connections to trenches / pipes. Manhole cover will be paid separately.</t>
    </r>
  </si>
  <si>
    <t xml:space="preserve">450 x 450 mm clear inside dimensions ( Depth Min. 450mm to Max.750mm ) </t>
  </si>
  <si>
    <t>600 x 600 mm clear inside dimensions ( Depth Min.600mm to Max. 900mm )</t>
  </si>
  <si>
    <t>750 x 750 mm clear inside dimensions ( Depth Min.600mm to Max. 900mm )</t>
  </si>
  <si>
    <r>
      <t xml:space="preserve">Supply , Installation , testing and commissioning  of </t>
    </r>
    <r>
      <rPr>
        <b/>
        <sz val="10"/>
        <rFont val="Arial"/>
        <family val="2"/>
      </rPr>
      <t>FRP (Fiberglass Reinforced Polymer)  Water gully chamber grating</t>
    </r>
    <r>
      <rPr>
        <sz val="10"/>
        <rFont val="Arial"/>
        <family val="2"/>
      </rPr>
      <t xml:space="preserve"> with frame design as per as per BSEN 124, IS 1726 25 ton Load in removable sections with matching frames of  MS angles or making a similar size of offset in floor trimix / concrete, over open channel / chamber as per the drawings and designs and approved by architect and testing of joints complete as per direction of Engineer in Charge.
Note : Min. 30% opening required in cover for entry surface water.</t>
    </r>
  </si>
  <si>
    <t xml:space="preserve">450mm x 450mm </t>
  </si>
  <si>
    <t>600mm x 600mm</t>
  </si>
  <si>
    <t>750mm x 750mm</t>
  </si>
  <si>
    <r>
      <t xml:space="preserve">Constructing brick masonry </t>
    </r>
    <r>
      <rPr>
        <b/>
        <sz val="10"/>
        <rFont val="Arial"/>
        <family val="2"/>
      </rPr>
      <t>circular manhole</t>
    </r>
    <r>
      <rPr>
        <sz val="10"/>
        <rFont val="Arial"/>
        <family val="2"/>
      </rPr>
      <t xml:space="preserve"> 0.91 m internal dia at bottom and 0.56 m dia at top up to 0.91 m depth with 75 class designation F.P.S. bricks in cement mortar 1 : 4 (1 cement : 4 coarse sand) inside and outside cement plaster 12 mm thick with cement mortar 1 : 3 (1 cement : 3 coarse sand) finished with a floating coat of neat cement foundation concrete 1 : 3 : 6 (1 cement : 3 coarse sand : 6 graded stone aggregate 40 mm nominal size), and making necessary channels in cement concrete 1 : 2 : 4 (1 cement : 2 coarse sand : 4 graded stone aggregate 20 mm nominal size) finished with a floating coat of neat cement, including earthwork in excavation in all kinds of soil, backfilling around manhole all complete as per standard design. M30 grade RCC slab including cement and reinforcement with shuttering arrangement to be considered in cost.</t>
    </r>
  </si>
  <si>
    <t>Extra over for additional depth for above item</t>
  </si>
  <si>
    <t xml:space="preserve"> Depth above 0.91 to 1.65 mtr.</t>
  </si>
  <si>
    <r>
      <t xml:space="preserve">Constructing </t>
    </r>
    <r>
      <rPr>
        <b/>
        <sz val="10"/>
        <rFont val="Arial"/>
        <family val="2"/>
      </rPr>
      <t>brick masonry circular manhole</t>
    </r>
    <r>
      <rPr>
        <sz val="10"/>
        <rFont val="Arial"/>
        <family val="2"/>
      </rPr>
      <t xml:space="preserve"> 1.22 m internal dia at bottom and 0.56 m dia at top up to 1.66 m depth with 75 class designation F.P.S. bricks in cement mortar 1 : 4 (1 cement : 4 coarse sand) inside and outside cement plaster 12 mm thick with cement mortar 1 : 3 (1 cement : 3 coarse sand) finished with a floating coat of neat cement foundation concrete 1 : 3 : 6 (1 cement : 3 coarse sand : 6 graded stone aggregate 40 mm nominal size), and making necessary channels in cement concrete 1 : 2 : 4 (1 cement : 2 coarse sand : 4 graded stone aggregate 20 mm nominal size) finished with a floating coat of neat cement, including earthwork in excavation in all kinds of soil, backfilling around manhole all complete as per standard design. M30 grade RCC slab including cement and reinforcement with shuttering arrangement to be considered in cost.</t>
    </r>
  </si>
  <si>
    <t>Depth above 1.66 to 2.3 mtr.</t>
  </si>
  <si>
    <r>
      <t xml:space="preserve">Constructing </t>
    </r>
    <r>
      <rPr>
        <b/>
        <sz val="10"/>
        <rFont val="Arial"/>
        <family val="2"/>
      </rPr>
      <t>brick masonry circular manhole</t>
    </r>
    <r>
      <rPr>
        <sz val="10"/>
        <rFont val="Arial"/>
        <family val="2"/>
      </rPr>
      <t xml:space="preserve"> 1.52 m internal dia at bottom and 0.56 m dia at top up to 2.3 m depth with 75 class designation F.P.S. bricks in cement mortar 1 : 4 (1 cement : 4 coarse sand) inside and outside cement plaster 12 mm thick with cement mortar 1 : 3 (1 cement : 3 coarse sand) finished with a floating coat of neat cement foundation concrete 1 : 3 : 6 (1 cement : 3 coarse sand : 6 graded stone aggregate 40 mm nominal size), and making necessary channels in cement concrete 1 : 2 : 4 (1 cement : 2 coarse sand : 4 graded stone aggregate 20 mm nominal size) finished with a floating coat of neat cement, including earthwork in excavation in all kinds of soil, backfilling around manhole all complete as per standard design. M30 grade RCC slab including cement and reinforcement with shuttering arrangement to be considered in cost.</t>
    </r>
  </si>
  <si>
    <t>Depth above 2.3 mtr.</t>
  </si>
  <si>
    <r>
      <t xml:space="preserve">Providing and fixing </t>
    </r>
    <r>
      <rPr>
        <b/>
        <sz val="10"/>
        <rFont val="Arial"/>
        <family val="2"/>
      </rPr>
      <t>FRP cover</t>
    </r>
    <r>
      <rPr>
        <sz val="10"/>
        <rFont val="Arial"/>
        <family val="2"/>
      </rPr>
      <t xml:space="preserve"> to be fixed as per required level with appropriate cement mortar etc. complete as directed.</t>
    </r>
  </si>
  <si>
    <t>300mm X 300mm - 2.5 MT for pedestrian load</t>
  </si>
  <si>
    <t>300mm X 300mm - 5 MT for 2 wheeler / light vehicle load</t>
  </si>
  <si>
    <t>450mm X 450mm - 2.5 MT for pedestrian load</t>
  </si>
  <si>
    <t>450mm X 450mm - 5 MT for 2 wheeler / light vehicle load</t>
  </si>
  <si>
    <t>600mm dia. - B125 for 4 wheeler load</t>
  </si>
  <si>
    <t>600mm X 600mm - B125 for 4 wheeler load</t>
  </si>
  <si>
    <t>600mm dia. - C250 for truck / tempo load</t>
  </si>
  <si>
    <t>600mm X 600mm - C250 for truck / tempo load</t>
  </si>
  <si>
    <r>
      <t xml:space="preserve">Providing &amp; fixing </t>
    </r>
    <r>
      <rPr>
        <b/>
        <sz val="10"/>
        <rFont val="Arial"/>
        <family val="2"/>
      </rPr>
      <t>manhole foot rests</t>
    </r>
    <r>
      <rPr>
        <sz val="10"/>
        <rFont val="Arial"/>
        <family val="2"/>
      </rPr>
      <t>; poly propylene, steel reinforcement The polypropylene shall confirm to ASTM D-410 and shall be injection moulded around 12mm dia Fe-415 Steel reinforcing bar. The foot rest shall be provided in RCC walls / brick walls as per requirement of design / project manager.</t>
    </r>
  </si>
  <si>
    <r>
      <t>Providing and fixing rain water</t>
    </r>
    <r>
      <rPr>
        <b/>
        <sz val="10"/>
        <rFont val="Arial"/>
        <family val="2"/>
      </rPr>
      <t xml:space="preserve"> "KHURRAS" size 600 x 450</t>
    </r>
    <r>
      <rPr>
        <sz val="10"/>
        <rFont val="Arial"/>
        <family val="2"/>
      </rPr>
      <t xml:space="preserve"> mm required depth with lead flashing around rainwater pipe with one piece lead sheet of 3 mm thick set on a layer of cold bitumen. Including heavy duty CI grating  complete as required.</t>
    </r>
  </si>
  <si>
    <r>
      <t>Providing and fixing rain water</t>
    </r>
    <r>
      <rPr>
        <b/>
        <sz val="10"/>
        <rFont val="Arial"/>
        <family val="2"/>
      </rPr>
      <t xml:space="preserve"> "KHURRAS" size 450 x 450</t>
    </r>
    <r>
      <rPr>
        <sz val="10"/>
        <rFont val="Arial"/>
        <family val="2"/>
      </rPr>
      <t xml:space="preserve"> mm required depth with lead flashing around rainwater pipe with one piece lead sheet of 3 mm thick set on a layer of cold bitumen. Including heavy duty CI grating  complete as required.</t>
    </r>
  </si>
  <si>
    <r>
      <t xml:space="preserve">Providing and fixing rain water </t>
    </r>
    <r>
      <rPr>
        <b/>
        <sz val="10"/>
        <rFont val="Arial"/>
        <family val="2"/>
      </rPr>
      <t xml:space="preserve">"KHURRAS" size 300 x 300 </t>
    </r>
    <r>
      <rPr>
        <sz val="10"/>
        <rFont val="Arial"/>
        <family val="2"/>
      </rPr>
      <t>mm required depth with lead flashing around rainwater pipe with one piece lead sheet of 3 mm thick set on a layer of cold bitumen. Including heavy duty CI grating  complete as required.</t>
    </r>
  </si>
  <si>
    <r>
      <t>Providing, fixing A</t>
    </r>
    <r>
      <rPr>
        <b/>
        <sz val="10"/>
        <rFont val="Arial"/>
        <family val="2"/>
      </rPr>
      <t>ir Admittance Valve (AAV)</t>
    </r>
    <r>
      <rPr>
        <sz val="10"/>
        <rFont val="Arial"/>
        <family val="2"/>
      </rPr>
      <t xml:space="preserve"> which is a one way valve designed to allow air to enter the plumbing drainage system when negative pressures develop in the piping system. The device shall close by gravity and seal the vent terminal at zero differential pressure (no flow conditions) and under positive internal pressures.</t>
    </r>
  </si>
  <si>
    <t xml:space="preserve">110mm dia </t>
  </si>
  <si>
    <t xml:space="preserve">160mm dia </t>
  </si>
  <si>
    <r>
      <t xml:space="preserve">Supply, Installation, Testing and commissioning of  </t>
    </r>
    <r>
      <rPr>
        <b/>
        <sz val="10"/>
        <rFont val="Arial"/>
        <family val="2"/>
      </rPr>
      <t>P.A.P.A. (Positive Air Pressure Attenuator)</t>
    </r>
    <r>
      <rPr>
        <sz val="10"/>
        <rFont val="Arial"/>
        <family val="2"/>
      </rPr>
      <t xml:space="preserve"> including all necessary fittings like elbow, tee, reducer, MTA, FTA, consumables etc. complete as directed.</t>
    </r>
  </si>
  <si>
    <t>75 mm dia</t>
  </si>
  <si>
    <t>110 mm dia</t>
  </si>
  <si>
    <t>160 mm dia</t>
  </si>
  <si>
    <r>
      <t xml:space="preserve">Charges for </t>
    </r>
    <r>
      <rPr>
        <b/>
        <sz val="10"/>
        <rFont val="Arial"/>
        <family val="2"/>
      </rPr>
      <t>SEWER Line Connection</t>
    </r>
    <r>
      <rPr>
        <sz val="10"/>
        <rFont val="Arial"/>
        <family val="2"/>
      </rPr>
      <t xml:space="preserve"> with Municipality Network Chamber with required all necessary material and accessories </t>
    </r>
  </si>
  <si>
    <t>JOB</t>
  </si>
  <si>
    <r>
      <t xml:space="preserve">Charges for </t>
    </r>
    <r>
      <rPr>
        <b/>
        <sz val="10"/>
        <rFont val="Arial"/>
        <family val="2"/>
      </rPr>
      <t>STORM WATER</t>
    </r>
    <r>
      <rPr>
        <sz val="10"/>
        <rFont val="Arial"/>
        <family val="2"/>
      </rPr>
      <t xml:space="preserve"> Line Connection with Municipality Network Chamber with required all necessary material and accessories 
</t>
    </r>
  </si>
  <si>
    <t>TOTAL OF SECTION-C  
INTERNAL SAVAGE/DRAINAGE NETWORK CARRIED OVER TO SUMMARY</t>
  </si>
  <si>
    <t>D</t>
  </si>
  <si>
    <t>PUMP ROOM :</t>
  </si>
  <si>
    <t>(If Pumps  and all accessories will be supplied by client free of cost, However the pumps  unloading, Lifting and shifting at site, erection, testing and commissioning of pump, with providing of Foundation bolts, Chemical anchor for fixing of pump with foundation in Contractor’s scope and GA drawing for foundation as per recommendation of pump manufacturer to be provided by contractor)</t>
  </si>
  <si>
    <t>Installation, testing and Commissioning of  submersible/ water supply Pumps. (Labour Only - Flexible pipe, hose clamps will be supplied by client free of cost. Valve, NRV or any other accessories, charges for unloading, shifting shall be paid separately in relevant items). Without electrical/Automation work</t>
  </si>
  <si>
    <t>Up to 5 HP</t>
  </si>
  <si>
    <t>Up to 10 HP</t>
  </si>
  <si>
    <t>Up to 15 HP</t>
  </si>
  <si>
    <t>Surface Hydro-Pneumatic System for Domestic and Flushing Water supply :</t>
  </si>
  <si>
    <t>Compact self contained Hydro-booster system comprising of following :</t>
  </si>
  <si>
    <t>SITC of Vertical In-line/Horizontal multi-stage, centrifugal clear water pumps with AISI304 Impeller and AISI316 Shaft, Cast Iron (FG260) Suction and Discharge with CED coating, TEFCIP55 motor (with Mechanical seal)Vendor to submit performance curves and technical catalogue of the proposed model for review and information</t>
  </si>
  <si>
    <t>Controller with colour touch screen display and Variable Frequency Drive(individual  VFD) integrated in a single body with pressure sensor transmitter, programming to indicate pump ready, pump running and fault in display and capable to communicate with other controllers following MODBUS-RTU  protocol through RS485 port along with electrical panel separate for each system. System should be capable to compensate for frictional losses at lower flows. All alarms should be displayed in the controller. System should be equipped with dry running protection. Indication of all type of faults / on-off status / electrical parameters shall be available on display and central BMS monitors. Also able to work with pressure switch in manual mode operation. Source from same manufacturer of pump.</t>
  </si>
  <si>
    <t>Pre-charged diaphragm pressure vessel with interchangeable membrane, charging connection, connected to outlet header with necessary flanges, gaskets, isolating valves, nuts/bolts etc. complete (size of pressure vessel as per manufacturer recommendation).</t>
  </si>
  <si>
    <t>Set of accessories such as G.I headers (with zink coating) for suction and discharge, control valves, non return valves, pressure switches, pressure transducers, pressure gauge, common skid, inter connecting power and control cabling etc. Complete.</t>
  </si>
  <si>
    <t>Set of Solenoid valve (IP68), control panel and y-strainer to maintain water level in OHT with float switch should be provided</t>
  </si>
  <si>
    <t>Domestic water feed pumps for water supply ( UGWT to OHWT FOR TERRACE )</t>
  </si>
  <si>
    <t>Set</t>
  </si>
  <si>
    <t>Flow Capacity: 17.5 m3/hr (292LPM)  each pump
Head - 75 Mtrs.
Pressure Tank - By Vender (Min. 200 Ltrs.)  
1 Set  = (3 Working + 1 Standby - cascade operation) 
Suction head -  Positive  suction
For Domestic water  purpose ( UGWT to OHWT FOR TERRACE )
PUMP LOCATION - BASEMENT                                                                                                                                                                                                                                                                                                                                                     
above system along with electrical panel</t>
  </si>
  <si>
    <t>Domestic water feed pumps for water supply ( UGWT to SHOPS FLOOR )</t>
  </si>
  <si>
    <t>Flow Capacity: 15 m3/hr (250LPM)  each pump
Head - 45 Mtrs.
Pressure Tank - By Vender (Min. 200 Ltrs.)  
1 Set  = (1 Working + 1 Standby - cascade operation) 
Suction head -  Positive  suction
For Domestic water  purpose ( UGWT to SHOPS FLOOR )
PUMP LOCATION - BASEMENT                                                                                                                                                                                                                                                                                                                                                         
above system along with electrical panel</t>
  </si>
  <si>
    <t>Flushing water feed pumps for water supply to ( UGWT to OHWT FOR TERRACE )</t>
  </si>
  <si>
    <t>Flow Capacity: 9 m3/hr (150 LPM)  each pump
Head - 75 Mtrs.
Pressure Tank - By Vender (Min. 200 Ltrs.)  
1 Set  = (3 Working + 1 Standby - cascade operation) 
Suction head -  Positive  suction
For Domestic water  purpose ( UGWT to OHWT FOR TERRACE )
PUMP LOCATION - BASEMENT                                                                                                                                                                                                                                                                                                                                                         
above system along with electrical panel</t>
  </si>
  <si>
    <t>Flushing water feed pumps for water supply to ( UGWT to SHOPS FLOOR )</t>
  </si>
  <si>
    <t>Domestic water feed pumps for water supply (Terrace Pressure system)</t>
  </si>
  <si>
    <t>Flow Capacity: 10 m3/hr (167 LPM)  each pump
Head - 35 Mtrs.
Pressure Tank - By Vender (Min. 200 Ltrs.)  
1 Set  = (2 Working + 1 Standby - cascade operation) 
Suction head -  Positive  suction
For Domestic water  purpose (Terrace Pressure system )
PUMP LOCATION - TERRACE                                                                                                                                                                                                                                                                                                                                           
above system along with electrical panel</t>
  </si>
  <si>
    <r>
      <t xml:space="preserve">Supplying and installing of </t>
    </r>
    <r>
      <rPr>
        <b/>
        <sz val="10"/>
        <rFont val="Arial"/>
        <family val="2"/>
      </rPr>
      <t>Submersible drainage sump pumps</t>
    </r>
    <r>
      <rPr>
        <sz val="10"/>
        <rFont val="Arial"/>
        <family val="2"/>
      </rPr>
      <t xml:space="preserve"> with free standing or on an auto coupling system, pump with grinder mechanism or semi open impeller for min. 40-45mm free passage. pump with temparature sensor in case of overheating, with 10mtr. cable.   (1 working+ 1 standby) with Sump pit lifting assembly suitable for 2 Nos. Submersible drainage pumps in a sump of overall depth not more than 1.6 m, ready made electro – galvanized MS lifting chain , class C GI pipe header complete with discharge manifold, flanges, tee, elbow etc. complete including electrical panel, Float switch GI pipe up to the top of sump and including GI union.  The installation shall be complete with all necessary indigenous accessories as required to complete the installation. </t>
    </r>
  </si>
  <si>
    <t xml:space="preserve">Sump Pump System
FLOW:- 12.5 m3/hr.  (209 LPM)  each pump
Head:- 25 Mtr.
(1 Working+1 Standby - cascade operation )
Partial- 50mm Partial handling Capacity
Motor:-  1.3  kw/  1.8 HP / 3Phase  (Each Pump) </t>
  </si>
  <si>
    <r>
      <t xml:space="preserve">Providing &amp; fixing of </t>
    </r>
    <r>
      <rPr>
        <b/>
        <sz val="10"/>
        <rFont val="Arial"/>
        <family val="2"/>
      </rPr>
      <t>G.I. Pipe class 'C' (heavy duty) as per IS:1239</t>
    </r>
    <r>
      <rPr>
        <sz val="10"/>
        <rFont val="Arial"/>
        <family val="2"/>
      </rPr>
      <t xml:space="preserve"> including all accessories such as screwed / welded joints, flanges, tees, reducers, clamps etc. including lift to all heights, welding, jointing, painting and inserted rubber gaskets, nuts, bolts etc. as required. Pipes shall be painted with one coat of primer &amp; two coats synthetic enamel paint. shall be fixed in walls, columns for all heights with hangers and fasteners. In case of requirement of structural steel supports, shall be paid separately. </t>
    </r>
    <r>
      <rPr>
        <b/>
        <sz val="10"/>
        <rFont val="Arial"/>
        <family val="2"/>
      </rPr>
      <t xml:space="preserve">(Note- Pipe Screwed Up to 50mm dia and welded above 50 mm dia) </t>
    </r>
  </si>
  <si>
    <t xml:space="preserve">32 mm Dia </t>
  </si>
  <si>
    <t xml:space="preserve">65 mm Dia </t>
  </si>
  <si>
    <t xml:space="preserve">80 mm Dia </t>
  </si>
  <si>
    <t xml:space="preserve">100 mm Dia </t>
  </si>
  <si>
    <t xml:space="preserve">150 mm Dia </t>
  </si>
  <si>
    <t xml:space="preserve">200 mm Dia </t>
  </si>
  <si>
    <t xml:space="preserve">250 mm Dia </t>
  </si>
  <si>
    <r>
      <t xml:space="preserve">Providing and fixing UPVC pipes confirming to ASTM standard D 1785 </t>
    </r>
    <r>
      <rPr>
        <b/>
        <sz val="10"/>
        <rFont val="Arial"/>
        <family val="2"/>
      </rPr>
      <t>SCH-80</t>
    </r>
    <r>
      <rPr>
        <sz val="10"/>
        <rFont val="Arial"/>
        <family val="2"/>
      </rPr>
      <t xml:space="preserve"> complete Fittings,  Tee, bends, reducers   flanges, plugs unions etc. including necessary clamps, tie rod, anchor fasteners etc.</t>
    </r>
  </si>
  <si>
    <r>
      <t xml:space="preserve">Supply, installation, testing, commissioning </t>
    </r>
    <r>
      <rPr>
        <b/>
        <sz val="10"/>
        <rFont val="Arial"/>
        <family val="2"/>
      </rPr>
      <t>Gun metal screwed end ‘Y’ type strainer</t>
    </r>
    <r>
      <rPr>
        <sz val="10"/>
        <rFont val="Arial"/>
        <family val="2"/>
      </rPr>
      <t xml:space="preserve"> with stainless steel fine mesh perforated sheet basket with necessary Nipple, Brass insert CPVC/ UPVC MTA or FTA, flange/union, nuts, bolts and washers complete as required</t>
    </r>
  </si>
  <si>
    <t xml:space="preserve">15 mm Dia </t>
  </si>
  <si>
    <r>
      <t xml:space="preserve">Supply, installation, testing, commissioning </t>
    </r>
    <r>
      <rPr>
        <b/>
        <sz val="10"/>
        <rFont val="Arial"/>
        <family val="2"/>
      </rPr>
      <t>Cast Iron Flange end ‘Y’ type strainer</t>
    </r>
    <r>
      <rPr>
        <sz val="10"/>
        <rFont val="Arial"/>
        <family val="2"/>
      </rPr>
      <t xml:space="preserve"> with stainless steel fine mesh perforated sheet basket with necessary flange/union, gasket, nuts, bolts and washers complete as required</t>
    </r>
  </si>
  <si>
    <t>200 mm Dia (Bucket Type)</t>
  </si>
  <si>
    <t>250 mm Dia (Bucket Type)</t>
  </si>
  <si>
    <r>
      <t>Supply, Installing, testing and commissioning</t>
    </r>
    <r>
      <rPr>
        <b/>
        <sz val="10"/>
        <rFont val="Arial"/>
        <family val="2"/>
      </rPr>
      <t xml:space="preserve"> C.I butterfly valve (Lever operated),</t>
    </r>
    <r>
      <rPr>
        <sz val="10"/>
        <rFont val="Arial"/>
        <family val="2"/>
      </rPr>
      <t xml:space="preserve"> wafer end type class PN 16 as per I.S:13095 or BS:5155, including providing of necessary flanges, nuts &amp; bolts (GI), gaskets etc., complete (including cost of flanges) as per drawings, specification and as directed by the Engineer's Representative.</t>
    </r>
  </si>
  <si>
    <r>
      <t xml:space="preserve">Providing and fixing </t>
    </r>
    <r>
      <rPr>
        <b/>
        <sz val="10"/>
        <rFont val="Arial"/>
        <family val="2"/>
      </rPr>
      <t>Dual plate wafer type non return valve</t>
    </r>
    <r>
      <rPr>
        <sz val="10"/>
        <rFont val="Arial"/>
        <family val="2"/>
      </rPr>
      <t xml:space="preserve"> [PN 10] conforming to IS:778 tested to 16 Kg/Sq.cm pressure complete with all fitting and accessories i.e. rubber gasket, flanges, union, nuts, bolts, washer etc.</t>
    </r>
  </si>
  <si>
    <t>TOTAL OF SECTION-D PUMPROOM CARRIED OVER TO SUMMARY</t>
  </si>
  <si>
    <t>E</t>
  </si>
  <si>
    <t>MISCELLANEOUS :</t>
  </si>
  <si>
    <r>
      <rPr>
        <b/>
        <sz val="10"/>
        <rFont val="Arial"/>
        <family val="2"/>
      </rPr>
      <t>WATER TANK COVER</t>
    </r>
    <r>
      <rPr>
        <sz val="10"/>
        <rFont val="Arial"/>
        <family val="2"/>
      </rPr>
      <t xml:space="preserve">
Providing and fixing 600 mm dia FRP covers of 12.5T load bearing capacity water tank cover fixed with cement mortar as required.</t>
    </r>
  </si>
  <si>
    <r>
      <t xml:space="preserve">Providing and fixing 600 mm to 1000 mm long (As per wall thickness )  hot dipped </t>
    </r>
    <r>
      <rPr>
        <b/>
        <sz val="10"/>
        <rFont val="Arial"/>
        <family val="2"/>
      </rPr>
      <t xml:space="preserve">G.I. Puddle flanges </t>
    </r>
    <r>
      <rPr>
        <sz val="10"/>
        <rFont val="Arial"/>
        <family val="2"/>
      </rPr>
      <t>with epoxy coated,  for water tanks as per I.S. 1239 (Class B) with Puddle Plate up to 150mm dia pipe and 'C' class heavy duty MS pipe conforming to IS 3589/IS 1239  of above 150mm to 400mm dia  suitable size and welded all around the pipe fixed in walls, beams and top slab of R.C.C tanks (underground and OH Tank ) , GRP/SMC Panel tank, complete with all details in all respects and as per drawing. (Pipe puddle flange/plate size as per technical spec/sleeve details )</t>
    </r>
  </si>
  <si>
    <t>40 mm dia (6 mm Thick  plate) - GI Pipe</t>
  </si>
  <si>
    <t>50 mm dia (6 mm Thick  plate) - GI Pipe</t>
  </si>
  <si>
    <t>65 mm dia (8 mm Thick  plate) - GI Pipe</t>
  </si>
  <si>
    <t>80 mm dia (8 mm Thick  plate) - GI Pipe</t>
  </si>
  <si>
    <t>100 mm dia (12 mm Thick  plate) - GI Pipe</t>
  </si>
  <si>
    <t>150 mm dia (12 mm Thick  plate) - GI Pipe</t>
  </si>
  <si>
    <t>200 mm dia (12 mm Thick  plate) - GI Pipe</t>
  </si>
  <si>
    <t>250 mm dia (12 mm Thick  plate) - GI Pipe</t>
  </si>
  <si>
    <t>300 mm dia (12 mm Thick  plate) - GI Pipe</t>
  </si>
  <si>
    <t>M.S. STRUCTURAL WORK</t>
  </si>
  <si>
    <t>Providing and fixing M.S. structural work fabricated from standard sections, (MS rounds, angles, channels etc.) including cutting to size, drilling, welding, including cost of fasteners in RCC structural members as directed, including two coats of synthetic paint over one coat of primer after surface preparation.</t>
  </si>
  <si>
    <t>Kgs.</t>
  </si>
  <si>
    <r>
      <t xml:space="preserve">Providing, installation and testing of </t>
    </r>
    <r>
      <rPr>
        <b/>
        <sz val="10"/>
        <rFont val="Arial"/>
        <family val="2"/>
      </rPr>
      <t xml:space="preserve">3 layer HDPE tank </t>
    </r>
    <r>
      <rPr>
        <sz val="10"/>
        <rFont val="Arial"/>
        <family val="2"/>
      </rPr>
      <t xml:space="preserve">with necessary connections for inlet, outlet, overflow and drain. Rate must be quoted considering lifting at all heights. Flange connections including necessary HDPE pipe, Flange to be welded by extrusion welding method with necessary stiffeners to be provided for connections above 2" dia. </t>
    </r>
  </si>
  <si>
    <t>1000 ltrs</t>
  </si>
  <si>
    <t>2000 ltrs</t>
  </si>
  <si>
    <t>3000 ltrs</t>
  </si>
  <si>
    <t>5000 ltrs</t>
  </si>
  <si>
    <t>10000 ltrs</t>
  </si>
  <si>
    <t>Making core drills in rcc slab/walls/beam of various thickness including necessary chipping by breaker or manually to make surface rough for grouting purpose and making good the same with GP-II grouting. (Waterproofing shall not be a part of this item.)</t>
  </si>
  <si>
    <t>77 mm x up to 150 mm thick</t>
  </si>
  <si>
    <t>77 mm x up to 200 mm thick</t>
  </si>
  <si>
    <t>77 mm x up to 250 mm thick</t>
  </si>
  <si>
    <t>102 mm x up to 150 mm thick</t>
  </si>
  <si>
    <t>102 mm x up to 200 mm thick</t>
  </si>
  <si>
    <t>102 mm x up to 250 mm thick</t>
  </si>
  <si>
    <t>125 mm x up to 150 mm thick</t>
  </si>
  <si>
    <t>125 mm x up to 200 mm thick</t>
  </si>
  <si>
    <t>125 mm x up to 250 mm thick</t>
  </si>
  <si>
    <t>152 mm x up to 150 mm thick</t>
  </si>
  <si>
    <t>152 mm x up to 200 mm thick</t>
  </si>
  <si>
    <t>l</t>
  </si>
  <si>
    <t>152 mm x up to 250 mm thick</t>
  </si>
  <si>
    <t>m</t>
  </si>
  <si>
    <t>200 mm x up to 150 mm thick</t>
  </si>
  <si>
    <t>n</t>
  </si>
  <si>
    <t>200 mm x up to 200 mm thick</t>
  </si>
  <si>
    <t>o</t>
  </si>
  <si>
    <t>200 mm x up to 250 mm thick</t>
  </si>
  <si>
    <t>p</t>
  </si>
  <si>
    <t>250 mm x up to 150 mm thick</t>
  </si>
  <si>
    <t>q</t>
  </si>
  <si>
    <t>250 mm x up to 200 mm thick</t>
  </si>
  <si>
    <t>r</t>
  </si>
  <si>
    <t>250 mm x up to 250 mm thick</t>
  </si>
  <si>
    <r>
      <t xml:space="preserve">Providing  and fixing </t>
    </r>
    <r>
      <rPr>
        <b/>
        <sz val="10"/>
        <rFont val="Arial"/>
        <family val="2"/>
      </rPr>
      <t xml:space="preserve">Electronic  type level indicator </t>
    </r>
    <r>
      <rPr>
        <sz val="10"/>
        <rFont val="Arial"/>
        <family val="2"/>
      </rPr>
      <t xml:space="preserve"> for water tanks mounting  in panel with provision of connect to BMS including wiring with the following features, level display, alarm when water level is low or high, full range from one level to four level display and manual reset for Alarm etc. with electrical wiring conduit supports from  wall &amp; ceiling  probes  and all other  accessories  complete  as required.  (For Water Tanks)</t>
    </r>
  </si>
  <si>
    <r>
      <t xml:space="preserve">Supply,  installing,  testing  and  commissioning  of  </t>
    </r>
    <r>
      <rPr>
        <b/>
        <sz val="10"/>
        <rFont val="Arial"/>
        <family val="2"/>
      </rPr>
      <t xml:space="preserve">annunciation   and  indication panel with interlocking </t>
    </r>
    <r>
      <rPr>
        <sz val="10"/>
        <rFont val="Arial"/>
        <family val="2"/>
      </rPr>
      <t xml:space="preserve"> arrangement  complete  in accordance  to specification  with level controller (In Raw Water, Domestic  Water , STP Treated water tank  &amp; Fire Water Tank : High / Low Level Controller) etc with control cabling from field to MCC as required.</t>
    </r>
  </si>
  <si>
    <r>
      <rPr>
        <b/>
        <sz val="10"/>
        <rFont val="Arial"/>
        <family val="2"/>
      </rPr>
      <t>Supply,  installing,  testing  and  commissioning  of WATER COOLER (DRINKING WATER AREA)</t>
    </r>
    <r>
      <rPr>
        <sz val="10"/>
        <rFont val="Arial"/>
        <family val="2"/>
      </rPr>
      <t xml:space="preserve">
Type – Fully Stainless Steel Cold Water Cooler
Body Material – SS-304 Stainless Steel
Storage Capacity – 120 ltrs
Cooling Capacity – 80 ltrs / hr
Power Supply- 230V/50Hz/1Ph</t>
    </r>
  </si>
  <si>
    <t>TOTAL OF SECTION-E  MISCELLANEOUS : CARRIED OVER TO SUMMARY</t>
  </si>
  <si>
    <t>F</t>
  </si>
  <si>
    <t>RAIN WATER HARVESTING SYSTEM :</t>
  </si>
  <si>
    <r>
      <t>Construction of</t>
    </r>
    <r>
      <rPr>
        <b/>
        <sz val="10"/>
        <rFont val="Arial"/>
        <family val="2"/>
      </rPr>
      <t xml:space="preserve"> Rain water harvesting</t>
    </r>
    <r>
      <rPr>
        <sz val="10"/>
        <rFont val="Arial"/>
        <family val="2"/>
      </rPr>
      <t xml:space="preserve"> size 2.5 m dia x 3.5m effective  depth for the re-charging of storm water run off including the civil work with following specification [Construction of Chamber].</t>
    </r>
  </si>
  <si>
    <r>
      <rPr>
        <b/>
        <u/>
        <sz val="10"/>
        <rFont val="Arial"/>
        <family val="2"/>
      </rPr>
      <t>De-Silting Chamber:</t>
    </r>
    <r>
      <rPr>
        <sz val="10"/>
        <rFont val="Arial"/>
        <family val="2"/>
      </rPr>
      <t xml:space="preserve">
Providing and constructing masonry de-silting chamber 1800mm x 1500mm with required depth inside with 75 class designated brick work in cement  mortar 1:6 (1cement : 6 fine sand) with C.I double seal medium duty 560mm dia manhole cover (2Nos.). top slab 1:2:4 mix (1cement : 2coarse sand : 4 graded stone aggregate 20mm nominal size) with minimum 1.5% reinforcement, foundation concrete 1:5:10 (1cement : 5 fine sand:10 grade stone aggregate 20mm nominal size including baffle wall, necessary excavation, back filling and disposal of surface earth. Complete with inlet, outlet and overflow arrangement. Foot rest @400mm c/c, grating of required size with 16mm sq. bars and frame @20mm clear spacing fixed at month of pipe as per site conditions and direction of Engineer in charge </t>
    </r>
  </si>
  <si>
    <r>
      <rPr>
        <b/>
        <u/>
        <sz val="10"/>
        <rFont val="Arial"/>
        <family val="2"/>
      </rPr>
      <t>Drilling:</t>
    </r>
    <r>
      <rPr>
        <sz val="10"/>
        <rFont val="Arial"/>
        <family val="2"/>
      </rPr>
      <t xml:space="preserve">
Drilling percolation borehole 200mm dia with reverse rotary method in all types of soil up to 50 m (approx.) depth including cost for mobilization of rig and making good  the area upon completion of work. Contractor shall arrange for all necessary tools, water and consumable and laying for drilling.
Providing and laying pea gravel all around  the casing pipe.
Providing and laying 160 mm dia slotted UPVC pipe of 6 Kg/cm2 - 35 m -40m or as per site sub-strata or set as per direction of Engineer- in charge
160 mm dia UPVC blind pipe ( Top PVC Cover ) of 6 Kg/cm2.</t>
    </r>
  </si>
  <si>
    <r>
      <rPr>
        <b/>
        <u/>
        <sz val="10"/>
        <rFont val="Arial"/>
        <family val="2"/>
      </rPr>
      <t>Rain Water Harvesting Well Filtration Chamber:</t>
    </r>
    <r>
      <rPr>
        <sz val="10"/>
        <rFont val="Arial"/>
        <family val="2"/>
      </rPr>
      <t xml:space="preserve">
Providing and constructing rain water harvesting well/filtration chamber of size 2.5 m dia x 3.5 m eff. depth inside with 75 class designated brick work in cement motor 1:6 (1cement : 6 fine sand) with 560mm dia C.I double seal medium duty manhole cover with top slab 1:2:4 mix (1cement : 2 course sand :4 graded stone aggregate 20mm nominal size) with minimum 1.5% reinforcement , foundation concrete 1:5:10 (1cement : 5 fine sand and 10 graded stone) aggregate 20mm nominal size including 300mm duty. Boulder 10-20mm, 300mm duty, gravel 5-10mm size, 300mm depth coarse sand 1.5-2.0mm including necessary excavation, back filling and disposal of surface earth complete with inlet, outlet, overflow arrangement pvc coated Foot Rest, 100mm dia deep holes @500mm  c/c to be provided 1200 c/c above the bottom of wall, 100mm C.I vent pipe -2m height with cowls.
Rate shall include excavation, back filling and all other operations necessary for completing the job.</t>
    </r>
  </si>
  <si>
    <t xml:space="preserve">Rain Water harvesting system complete set as per above details </t>
  </si>
  <si>
    <t>TOTAL OF SECTION-F RAIN WATER HARVESTING SYSTEM : CARRIED OVER TO SUMMARY</t>
  </si>
  <si>
    <t>G</t>
  </si>
  <si>
    <t>HOT WATER SYSTEM</t>
  </si>
  <si>
    <t>EQUIPMENTS</t>
  </si>
  <si>
    <t>HEAT PUMP</t>
  </si>
  <si>
    <r>
      <t xml:space="preserve">Supply, installation, testing and commissioning of Hot Water Generation Plant with Packaged type Air to Water Heat Pump 
&gt; Working on Power supply: 380~415V/3N~/50Hz
&gt; Rated Heating Output : </t>
    </r>
    <r>
      <rPr>
        <b/>
        <u/>
        <sz val="10"/>
        <rFont val="Arial"/>
        <family val="2"/>
      </rPr>
      <t xml:space="preserve">____ Kw. </t>
    </r>
    <r>
      <rPr>
        <sz val="10"/>
        <rFont val="Arial"/>
        <family val="2"/>
      </rPr>
      <t xml:space="preserve">
&gt; Rated Heating Input :  </t>
    </r>
    <r>
      <rPr>
        <b/>
        <u/>
        <sz val="10"/>
        <rFont val="Arial"/>
        <family val="2"/>
      </rPr>
      <t xml:space="preserve">_____ Kw/hr </t>
    </r>
    <r>
      <rPr>
        <sz val="10"/>
        <rFont val="Arial"/>
        <family val="2"/>
      </rPr>
      <t xml:space="preserve">
&gt; Rated produce water capacity: </t>
    </r>
    <r>
      <rPr>
        <b/>
        <u/>
        <sz val="10"/>
        <rFont val="Arial"/>
        <family val="2"/>
      </rPr>
      <t>_______ liter/hr</t>
    </r>
    <r>
      <rPr>
        <sz val="10"/>
        <rFont val="Arial"/>
        <family val="2"/>
      </rPr>
      <t xml:space="preserve"> @ 40°C ΔT.
&gt; COP: </t>
    </r>
    <r>
      <rPr>
        <b/>
        <u/>
        <sz val="10"/>
        <rFont val="Arial"/>
        <family val="2"/>
      </rPr>
      <t>______</t>
    </r>
    <r>
      <rPr>
        <sz val="10"/>
        <rFont val="Arial"/>
        <family val="2"/>
      </rPr>
      <t xml:space="preserve">
&gt; Refrigerant:- </t>
    </r>
    <r>
      <rPr>
        <b/>
        <u/>
        <sz val="10"/>
        <rFont val="Arial"/>
        <family val="2"/>
      </rPr>
      <t>______</t>
    </r>
    <r>
      <rPr>
        <sz val="10"/>
        <rFont val="Arial"/>
        <family val="2"/>
      </rPr>
      <t xml:space="preserve">
&gt; Scroll compressors : </t>
    </r>
    <r>
      <rPr>
        <b/>
        <u/>
        <sz val="10"/>
        <rFont val="Arial"/>
        <family val="2"/>
      </rPr>
      <t>______</t>
    </r>
    <r>
      <rPr>
        <sz val="10"/>
        <rFont val="Arial"/>
        <family val="2"/>
      </rPr>
      <t xml:space="preserve">
&gt; Rated outlet hot water temp.: </t>
    </r>
    <r>
      <rPr>
        <b/>
        <u/>
        <sz val="10"/>
        <rFont val="Arial"/>
        <family val="2"/>
      </rPr>
      <t>_____</t>
    </r>
    <r>
      <rPr>
        <sz val="10"/>
        <rFont val="Arial"/>
        <family val="2"/>
      </rPr>
      <t xml:space="preserve">
&gt; Max. Outlet hot water temp.: </t>
    </r>
    <r>
      <rPr>
        <b/>
        <u/>
        <sz val="10"/>
        <rFont val="Arial"/>
        <family val="2"/>
      </rPr>
      <t>______</t>
    </r>
    <r>
      <rPr>
        <sz val="10"/>
        <rFont val="Arial"/>
        <family val="2"/>
      </rPr>
      <t xml:space="preserve">
&gt; For Testing: Use side initial water temp.: </t>
    </r>
    <r>
      <rPr>
        <b/>
        <u/>
        <sz val="10"/>
        <rFont val="Arial"/>
        <family val="2"/>
      </rPr>
      <t xml:space="preserve">______ </t>
    </r>
    <r>
      <rPr>
        <sz val="10"/>
        <rFont val="Arial"/>
        <family val="2"/>
      </rPr>
      <t xml:space="preserve">
&gt; Setting water temp. 55°C, Max. temp.: 60°C,DB / WB: 20°C/15°C.
&gt; Operating Ambient temp. 0 to 46°
Steel case in copper heat exchanger, Copland compressor, Eco friendly refrigerant, Emerson Expansion valve, Multi function digital control panel, 
These units shall be completely factory assembled including. Scroll Hermatically Sealed Scroll Compressor(s), evaporator. The Heat Pump shall have inbuilt hot water heat exchanger, pumps, valves. expansion valve, integrated CIP system and other accessories.</t>
    </r>
  </si>
  <si>
    <r>
      <t>a. Electric panel for heat pump,On off switch, MCB/ELCB safety, On off indicator, powder coated cabinet. Panels suitable for controlling of :-</t>
    </r>
    <r>
      <rPr>
        <b/>
        <sz val="10"/>
        <rFont val="Arial"/>
        <family val="2"/>
      </rPr>
      <t xml:space="preserve"> 
_____ Nos Heat pumps, _____ Nos water circulation pump &amp; _____ Nos return pumps.</t>
    </r>
  </si>
  <si>
    <t xml:space="preserve">b. All other mountings, fittings  &amp; controls with all accessories and safeties </t>
  </si>
  <si>
    <t>c. All interconnecting wiring / cabling between heat pump and electrical panel.</t>
  </si>
  <si>
    <t>d. The Heat pump shall have an in-built facility to start / stop depending on variation in demand  at different periods.</t>
  </si>
  <si>
    <t xml:space="preserve">e. System shall be complete with Heat Exchangers, Return Recirculation Pump, interconnecting piping, valves and all accessories as required.
Complete system ready to Installed at site (Ready for In and Out Connection)  </t>
  </si>
  <si>
    <t>Heat Pump Capacity : _______ LPH @ ΔΤ 40° C.</t>
  </si>
  <si>
    <t>SET</t>
  </si>
  <si>
    <t xml:space="preserve">Water Circulating Pump  (1W + 1S) of suitable capacity to match the:-
Flow: ______ m³/hr. (________ LPH) @ ______ M head
</t>
  </si>
  <si>
    <t xml:space="preserve">Hot Water Return Circulation pump (1W + 1S) of suitable capacity to match the:-
Flow: ______ m³/hr. (2500 LPH) @ ____ M head
</t>
  </si>
  <si>
    <r>
      <rPr>
        <b/>
        <sz val="10"/>
        <rFont val="Arial"/>
        <family val="2"/>
      </rPr>
      <t xml:space="preserve">Hot Water Mixing Tank (STORAGE TANK) </t>
    </r>
    <r>
      <rPr>
        <sz val="10"/>
        <rFont val="Arial"/>
        <family val="2"/>
      </rPr>
      <t xml:space="preserve">
Supply, Installation, Testing &amp; Commissioning of Pre-fabricated Pre-insulated with Storage tank of thick</t>
    </r>
    <r>
      <rPr>
        <u/>
        <sz val="10"/>
        <rFont val="Arial"/>
        <family val="2"/>
      </rPr>
      <t xml:space="preserve"> sheet SS-304 L</t>
    </r>
    <r>
      <rPr>
        <sz val="10"/>
        <rFont val="Arial"/>
        <family val="2"/>
      </rPr>
      <t xml:space="preserve">, Vertical of following capacities with each consisting of proper supports above floor level made from channels. It shall have all the inlet &amp; outlet connections suitable Nozzles for cold water inlet , hot water outlet , hot water return , PHE inlet and outlet , drain line  pressure gauge , temperature gauge and safety valve  as per the P&amp;ID &amp; layout shared. Tank shell shall be designed to withstand inside working pressure up to 6 kgs/cm2. &amp; Testign Pressure 8 kgs/cm2.  Safety measures shall be done for tank protection and 50 mm thick rockwool insulation having density 100 kg/m³  with 26 gauge aluminium cladding .
</t>
    </r>
    <r>
      <rPr>
        <b/>
        <sz val="10"/>
        <rFont val="Arial"/>
        <family val="2"/>
      </rPr>
      <t xml:space="preserve">_________ Litres Capacity pressurized mixing tank. </t>
    </r>
  </si>
  <si>
    <t>TOTAL OF SECTION-G HOT WATER SYSTEM : CARRIED OVER TO SUMMARY</t>
  </si>
  <si>
    <t>H</t>
  </si>
  <si>
    <t>GREASE SEPERATOR</t>
  </si>
  <si>
    <t>supply , Installation , testing and commissioning of  NS 10  Capacity above ground Grease Separator based on DIN EN 1825 With  material HDPE grease separators design with grease discharge pump ( Pump Flow as per company recommendation ) up to ground floor service entry level   for full disposal, sludge and grease are collected in the separator container and No metallic components in chamber. grease separator NS 10 with 1000 ltrs sludge , 520 ltrs Grease with overall capacity of 2000 ltrs with DN 160 inlet &amp; outlet made up of HDPE emptying while suction line DN 65 P10. For free standing installation in frost free areas, with integrated sludge trap and sloped walls for quick and efficient disposal, polyethylene quick release odor tight covers, with direct disposal  remains after disposal. Contractor / Supplier should be submitted proper technical data sheet with all installation details as per specify Standards guide lines. All hangers, MS Stand for suspended grease trap  with clamps, brackets, anchor/fixed support, guides, rollers etc. shall be of galvanized iron unless specified otherwise and then supply and installation of the same shall also be included for rates under this head. Welding of any kind on the galvanized support / hanger shall not be permitted.
Note : MS Platform for Grease separator to be design as per dynamic load of equipment and as per  Engineer in charge direction.</t>
  </si>
  <si>
    <t>I</t>
  </si>
  <si>
    <t>Water Treatment plant</t>
  </si>
  <si>
    <t>For Fresh Water Treatment</t>
  </si>
  <si>
    <r>
      <t xml:space="preserve">Providing, fixing, testing and commissioning of vertical self supporting </t>
    </r>
    <r>
      <rPr>
        <b/>
        <sz val="10"/>
        <rFont val="Arial"/>
        <family val="2"/>
      </rPr>
      <t>Multi Grade Filter, in MSEP vessels,</t>
    </r>
    <r>
      <rPr>
        <sz val="10"/>
        <rFont val="Arial"/>
        <family val="2"/>
      </rPr>
      <t xml:space="preserve"> pressure gauges at inlet &amp; outlet, sample cock, air vent valve with piping, C-PVC, SDR 11.0 grade face piping distribution pipe with diffuser on top, CI butterfly valves Multiport valve and all accessories, with initial charge of filter media for multi-grade filter, complete. (Contractor has the responsibility to check the quality of water from actual water analysis report before procuring the equipments)</t>
    </r>
  </si>
  <si>
    <t>Capacity                        - ______ m3/hour</t>
  </si>
  <si>
    <t>Filter dia (approx.)        - ______ mm</t>
  </si>
  <si>
    <t>Working pressure        -  3.0 Kg/Sq.cm</t>
  </si>
  <si>
    <t>Test pressure              - 10.0 Kg/Sq.cm</t>
  </si>
  <si>
    <t>Supply</t>
  </si>
  <si>
    <t xml:space="preserve">Erection, testing &amp; commissioning </t>
  </si>
  <si>
    <r>
      <t xml:space="preserve">Providing, fixing, testing &amp; commissioning vertical self supporting </t>
    </r>
    <r>
      <rPr>
        <b/>
        <sz val="10"/>
        <rFont val="Arial"/>
        <family val="2"/>
      </rPr>
      <t>Activated Carbon Filter (ACF) in MSEP vessels,</t>
    </r>
    <r>
      <rPr>
        <sz val="10"/>
        <rFont val="Arial"/>
        <family val="2"/>
      </rPr>
      <t xml:space="preserve"> pressure gauge at inlet &amp; outlet, sample cock, C-PVC SDR 11.0 grade face piping, C.I. Butterfly valve / Multiport Valve and all accessories, air vent valve with piping, with initial charge of filter media for activated carbon filter, complete. (Contractor has the responsibility to check the quality of water from actual water analysis report before procuring the equipments)</t>
    </r>
  </si>
  <si>
    <t>Capacity                     -________ m3/hour</t>
  </si>
  <si>
    <t>Filter dia (approx.)      - _______ mm</t>
  </si>
  <si>
    <t>Working pressure      - 3.0 Kg/Sq.cm</t>
  </si>
  <si>
    <t>Test pressure            - 10.0 Kg/Sq.cm</t>
  </si>
  <si>
    <t>Testing &amp; commissioning</t>
  </si>
  <si>
    <r>
      <t xml:space="preserve">Providing, fixing, testing &amp; commissioning of </t>
    </r>
    <r>
      <rPr>
        <b/>
        <sz val="10"/>
        <rFont val="Arial"/>
        <family val="2"/>
      </rPr>
      <t>metering pump type chemical doser with _________ litres. HDPE/ FRP solution tank,</t>
    </r>
    <r>
      <rPr>
        <sz val="10"/>
        <rFont val="Arial"/>
        <family val="2"/>
      </rPr>
      <t xml:space="preserve"> injection fitting assembly, suction and delivery hose up to the point of injection, capacity 0-20 lph, complete in all respects for treated water tank.</t>
    </r>
  </si>
  <si>
    <r>
      <t xml:space="preserve">Providing , fixing, testing and commissioning of </t>
    </r>
    <r>
      <rPr>
        <b/>
        <sz val="10"/>
        <rFont val="Arial"/>
        <family val="2"/>
      </rPr>
      <t>water softener in MSEP vessels</t>
    </r>
    <r>
      <rPr>
        <sz val="10"/>
        <rFont val="Arial"/>
        <family val="2"/>
      </rPr>
      <t xml:space="preserve"> (shell &amp; thick dished ends) complete with initial charge of resins, C-PVC SDR 11.0 grade face piping, CI butterfly valves, pressure gauge, hydraulic brine injector, accessories, including suitable PVC/HDPE brine tank of 2 regeneration capacity complete with resins of approved quality and make. (Contractor has the responsibility to check the quality of water from actual water analysis report before procuring the equipments)</t>
    </r>
  </si>
  <si>
    <t>Hardness Inlet                 -  ________ PPM (Approx.)</t>
  </si>
  <si>
    <t>Hardness Outlet              -  &lt;50 PPM)</t>
  </si>
  <si>
    <t>Capacity                          -  ________ m3/hour</t>
  </si>
  <si>
    <t>OBR                                -  _______ m3</t>
  </si>
  <si>
    <t>Operating pressure        -  3.0 kg/Sq.cm</t>
  </si>
  <si>
    <t>Test pressure                 - 10.0 Kg/Sq.cm</t>
  </si>
  <si>
    <t xml:space="preserve">Resin Quantity                -  Fill by vendor </t>
  </si>
  <si>
    <t xml:space="preserve">Vessels Dia (Approx)    -  Fill by vendor      </t>
  </si>
  <si>
    <r>
      <t xml:space="preserve">Supplying </t>
    </r>
    <r>
      <rPr>
        <b/>
        <sz val="10"/>
        <rFont val="Arial"/>
        <family val="2"/>
      </rPr>
      <t xml:space="preserve">complete testing kit with all chemicals complete </t>
    </r>
    <r>
      <rPr>
        <sz val="10"/>
        <rFont val="Arial"/>
        <family val="2"/>
      </rPr>
      <t>suitable for conducting test on water quantity.  The test kit shall be suitable for measuring, TDS, PH, hardness, iron content etc.</t>
    </r>
  </si>
  <si>
    <r>
      <t xml:space="preserve">Supply, fixing, testing and commissioning of </t>
    </r>
    <r>
      <rPr>
        <b/>
        <sz val="10"/>
        <rFont val="Arial"/>
        <family val="2"/>
      </rPr>
      <t>UV Stabilizer</t>
    </r>
    <r>
      <rPr>
        <sz val="10"/>
        <rFont val="Arial"/>
        <family val="2"/>
      </rPr>
      <t xml:space="preserve"> consisting of 4 nos UV Lamps, flow of 19cum/hr, with electronic ballast, operating at 30-50khz, sheet steel with electrophoretic dip coat priming and textured powder coating, UV dosage of &gt; 30000u W-sec/cm2 @ EOL, with MS Frame and stand for holding the unit with all accessories etc. Complete.</t>
    </r>
  </si>
  <si>
    <r>
      <t xml:space="preserve">Supply &amp; fixing of </t>
    </r>
    <r>
      <rPr>
        <b/>
        <sz val="10"/>
        <rFont val="Arial"/>
        <family val="2"/>
      </rPr>
      <t>On-line auto UV system for disinfection of water</t>
    </r>
    <r>
      <rPr>
        <sz val="10"/>
        <rFont val="Arial"/>
        <family val="2"/>
      </rPr>
      <t xml:space="preserve">, SS UV housing with power unit (starter) and standard UV lamp. UV system should have arrangement to diagnose failure of UV lamp, all necessary piping &amp; equipment etc. working at minimum pressure of 12-13 kg/sq. cm. as per specification.
</t>
    </r>
    <r>
      <rPr>
        <b/>
        <sz val="10"/>
        <rFont val="Arial"/>
        <family val="2"/>
      </rPr>
      <t>Capacity  :  _________M3/Hr.</t>
    </r>
  </si>
  <si>
    <r>
      <t>Supply, installation, testing and commissioning of</t>
    </r>
    <r>
      <rPr>
        <b/>
        <sz val="10"/>
        <rFont val="Arial"/>
        <family val="2"/>
      </rPr>
      <t xml:space="preserve"> Online Smart water quality monitoring system</t>
    </r>
    <r>
      <rPr>
        <sz val="10"/>
        <rFont val="Arial"/>
        <family val="2"/>
      </rPr>
      <t xml:space="preserve"> to collect real time water quantity parameters such as pH, TSS, TDS, Residual Chlorine Measurement and microflora. The system shall be installed after UV treatment in Ring main unit having weather proof connection, with data logging device having IP68 housing with required isolated flow signal with paddle wheel flow sensor,  microprocessor based transmission option for flow pattern recording with GSM / GPRS modern interface feature including 10 meter long cable for 12-24V DC power supply and 12V 3500mAh battery capacity, communicate all data to BMS, BMS Compatible including all necessary fixing arrangement as per design/ drawing as approved. </t>
    </r>
  </si>
  <si>
    <t>TOTAL OF SECTION-I 
WATER TREATMENT PLANT : CARRIED OVER TO SUMMARY</t>
  </si>
  <si>
    <t xml:space="preserve">GRAND 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</si>
</sst>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0.0"/>
  </numFmts>
  <fonts count="9" x14ac:knownFonts="1">
    <font>
      <sz val="11"/>
      <color theme="1"/>
      <name val="Calibri"/>
      <family val="2"/>
      <scheme val="minor"/>
    </font>
    <font>
      <sz val="11"/>
      <color theme="1"/>
      <name val="Calibri"/>
      <family val="2"/>
      <scheme val="minor"/>
    </font>
    <font>
      <sz val="10"/>
      <name val="Arial"/>
      <family val="2"/>
    </font>
    <font>
      <sz val="11"/>
      <name val="Calibri Light"/>
      <family val="1"/>
      <scheme val="major"/>
    </font>
    <font>
      <b/>
      <sz val="10"/>
      <name val="Arial"/>
      <family val="2"/>
    </font>
    <font>
      <b/>
      <sz val="11"/>
      <name val="Calibri Light"/>
      <family val="1"/>
      <scheme val="major"/>
    </font>
    <font>
      <b/>
      <u/>
      <sz val="10"/>
      <name val="Arial"/>
      <family val="2"/>
    </font>
    <font>
      <sz val="10"/>
      <color theme="1"/>
      <name val="Arial"/>
      <family val="2"/>
    </font>
    <font>
      <u/>
      <sz val="10"/>
      <name val="Arial"/>
      <family val="2"/>
    </font>
  </fonts>
  <fills count="8">
    <fill>
      <patternFill patternType="none"/>
    </fill>
    <fill>
      <patternFill patternType="gray125"/>
    </fill>
    <fill>
      <patternFill patternType="solid">
        <fgColor theme="0"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rgb="FFFFFFFF"/>
        <bgColor indexed="64"/>
      </patternFill>
    </fill>
    <fill>
      <patternFill patternType="solid">
        <fgColor theme="7" tint="0.79998168889431442"/>
        <bgColor indexed="64"/>
      </patternFill>
    </fill>
  </fills>
  <borders count="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1" fillId="0" borderId="0"/>
    <xf numFmtId="0" fontId="2" fillId="0" borderId="0"/>
  </cellStyleXfs>
  <cellXfs count="109">
    <xf numFmtId="0" fontId="0" fillId="0" borderId="0" xfId="0"/>
    <xf numFmtId="0" fontId="2" fillId="0" borderId="0" xfId="2" applyFont="1" applyAlignment="1" applyProtection="1">
      <alignment horizontal="center" vertical="center"/>
      <protection locked="0"/>
    </xf>
    <xf numFmtId="0" fontId="2" fillId="0" borderId="0" xfId="2" applyFont="1" applyProtection="1">
      <protection locked="0"/>
    </xf>
    <xf numFmtId="0" fontId="2" fillId="0" borderId="0" xfId="2" applyFont="1" applyAlignment="1" applyProtection="1">
      <alignment vertical="center"/>
      <protection locked="0"/>
    </xf>
    <xf numFmtId="0" fontId="2" fillId="0" borderId="0" xfId="2" applyFont="1" applyAlignment="1" applyProtection="1">
      <alignment horizontal="center"/>
      <protection locked="0"/>
    </xf>
    <xf numFmtId="0" fontId="3" fillId="0" borderId="0" xfId="2" applyFont="1" applyProtection="1">
      <protection locked="0"/>
    </xf>
    <xf numFmtId="0" fontId="4" fillId="0" borderId="0" xfId="2" applyFont="1" applyAlignment="1" applyProtection="1">
      <alignment vertical="center"/>
      <protection locked="0"/>
    </xf>
    <xf numFmtId="0" fontId="4" fillId="0" borderId="0" xfId="2" applyFont="1" applyAlignment="1" applyProtection="1">
      <alignment vertical="justify"/>
      <protection locked="0"/>
    </xf>
    <xf numFmtId="0" fontId="4" fillId="0" borderId="0" xfId="2" applyFont="1" applyAlignment="1" applyProtection="1">
      <alignment vertical="center"/>
      <protection locked="0"/>
    </xf>
    <xf numFmtId="0" fontId="4" fillId="2" borderId="1" xfId="2" applyFont="1" applyFill="1" applyBorder="1" applyAlignment="1" applyProtection="1">
      <alignment horizontal="center" vertical="center" wrapText="1"/>
      <protection locked="0"/>
    </xf>
    <xf numFmtId="0" fontId="4" fillId="2" borderId="1" xfId="2" applyFont="1" applyFill="1" applyBorder="1" applyAlignment="1">
      <alignment horizontal="center" vertical="center"/>
    </xf>
    <xf numFmtId="1" fontId="4" fillId="2" borderId="1" xfId="2" applyNumberFormat="1" applyFont="1" applyFill="1" applyBorder="1" applyAlignment="1" applyProtection="1">
      <alignment horizontal="center" vertical="center"/>
      <protection locked="0"/>
    </xf>
    <xf numFmtId="0" fontId="3" fillId="0" borderId="0" xfId="2" applyFont="1" applyAlignment="1" applyProtection="1">
      <alignment vertical="center"/>
      <protection locked="0"/>
    </xf>
    <xf numFmtId="0" fontId="4" fillId="0" borderId="1" xfId="2" applyFont="1" applyBorder="1" applyAlignment="1" applyProtection="1">
      <alignment horizontal="center" vertical="center" wrapText="1"/>
      <protection locked="0"/>
    </xf>
    <xf numFmtId="0" fontId="4" fillId="0" borderId="1" xfId="2" applyFont="1" applyBorder="1" applyAlignment="1" applyProtection="1">
      <alignment horizontal="justify" vertical="justify" wrapText="1"/>
      <protection locked="0"/>
    </xf>
    <xf numFmtId="0" fontId="4" fillId="0" borderId="1" xfId="2" applyFont="1" applyBorder="1" applyAlignment="1" applyProtection="1">
      <alignment horizontal="justify" vertical="center" wrapText="1"/>
      <protection locked="0"/>
    </xf>
    <xf numFmtId="0" fontId="4" fillId="0" borderId="1" xfId="2" applyFont="1" applyBorder="1" applyAlignment="1">
      <alignment horizontal="center" vertical="center"/>
    </xf>
    <xf numFmtId="1" fontId="4" fillId="0" borderId="1" xfId="2" applyNumberFormat="1" applyFont="1" applyBorder="1" applyAlignment="1" applyProtection="1">
      <alignment horizontal="center" vertical="center"/>
      <protection locked="0"/>
    </xf>
    <xf numFmtId="43" fontId="4" fillId="0" borderId="1" xfId="1" applyFont="1" applyBorder="1" applyAlignment="1" applyProtection="1">
      <alignment horizontal="right" vertical="center"/>
      <protection locked="0"/>
    </xf>
    <xf numFmtId="0" fontId="5" fillId="3" borderId="2" xfId="3" applyFont="1" applyFill="1" applyBorder="1" applyAlignment="1" applyProtection="1">
      <alignment horizontal="center" vertical="justify" wrapText="1"/>
      <protection locked="0"/>
    </xf>
    <xf numFmtId="0" fontId="5" fillId="3" borderId="2" xfId="3" applyFont="1" applyFill="1" applyBorder="1" applyAlignment="1" applyProtection="1">
      <alignment horizontal="left" vertical="justify" wrapText="1"/>
      <protection locked="0"/>
    </xf>
    <xf numFmtId="0" fontId="4" fillId="0" borderId="1" xfId="3" quotePrefix="1" applyFont="1" applyBorder="1" applyAlignment="1" applyProtection="1">
      <alignment horizontal="left" vertical="top" wrapText="1"/>
      <protection locked="0"/>
    </xf>
    <xf numFmtId="0" fontId="2" fillId="0" borderId="1" xfId="2" applyFont="1" applyBorder="1" applyAlignment="1" applyProtection="1">
      <alignment vertical="center"/>
      <protection locked="0"/>
    </xf>
    <xf numFmtId="0" fontId="2" fillId="0" borderId="1" xfId="2" applyFont="1" applyBorder="1" applyAlignment="1">
      <alignment horizontal="center"/>
    </xf>
    <xf numFmtId="0" fontId="2" fillId="0" borderId="1" xfId="2" applyFont="1" applyBorder="1" applyProtection="1">
      <protection locked="0"/>
    </xf>
    <xf numFmtId="43" fontId="2" fillId="0" borderId="1" xfId="1" applyFont="1" applyBorder="1" applyAlignment="1" applyProtection="1">
      <alignment horizontal="right"/>
      <protection locked="0"/>
    </xf>
    <xf numFmtId="0" fontId="2" fillId="0" borderId="1" xfId="3" applyBorder="1" applyAlignment="1" applyProtection="1">
      <alignment horizontal="center" vertical="center"/>
      <protection locked="0"/>
    </xf>
    <xf numFmtId="0" fontId="6" fillId="0" borderId="1" xfId="3" applyFont="1" applyBorder="1" applyAlignment="1" applyProtection="1">
      <alignment horizontal="left" vertical="top" wrapText="1"/>
      <protection locked="0"/>
    </xf>
    <xf numFmtId="0" fontId="6" fillId="0" borderId="1" xfId="3" applyFont="1" applyBorder="1" applyAlignment="1" applyProtection="1">
      <alignment horizontal="justify" vertical="top" wrapText="1"/>
      <protection locked="0"/>
    </xf>
    <xf numFmtId="0" fontId="2" fillId="0" borderId="1" xfId="0" applyFont="1" applyBorder="1" applyAlignment="1" applyProtection="1">
      <alignment horizontal="center" vertical="center"/>
      <protection locked="0"/>
    </xf>
    <xf numFmtId="0" fontId="2" fillId="0" borderId="1" xfId="3" applyBorder="1" applyAlignment="1" applyProtection="1">
      <alignment horizontal="center" vertical="top"/>
      <protection locked="0"/>
    </xf>
    <xf numFmtId="0" fontId="2" fillId="0" borderId="1" xfId="0" applyFont="1" applyBorder="1" applyAlignment="1" applyProtection="1">
      <alignment horizontal="justify" vertical="justify" wrapText="1"/>
      <protection locked="0"/>
    </xf>
    <xf numFmtId="0" fontId="2" fillId="0" borderId="1" xfId="3" applyBorder="1" applyAlignment="1" applyProtection="1">
      <alignment horizontal="left" vertical="justify" wrapText="1"/>
      <protection locked="0"/>
    </xf>
    <xf numFmtId="0" fontId="2" fillId="0" borderId="1" xfId="3" applyBorder="1" applyAlignment="1" applyProtection="1">
      <alignment horizontal="justify" vertical="justify" wrapText="1"/>
      <protection locked="0"/>
    </xf>
    <xf numFmtId="1" fontId="2" fillId="0" borderId="1" xfId="0" applyNumberFormat="1" applyFont="1" applyBorder="1" applyAlignment="1" applyProtection="1">
      <alignment horizontal="center" vertical="center" wrapText="1"/>
      <protection locked="0"/>
    </xf>
    <xf numFmtId="43" fontId="2" fillId="0" borderId="1" xfId="1" applyFont="1" applyBorder="1" applyAlignment="1" applyProtection="1">
      <alignment horizontal="right" vertical="center"/>
      <protection locked="0"/>
    </xf>
    <xf numFmtId="165" fontId="2" fillId="0" borderId="1" xfId="0" applyNumberFormat="1" applyFont="1" applyBorder="1" applyAlignment="1" applyProtection="1">
      <alignment horizontal="center" vertical="center" wrapText="1"/>
      <protection locked="0"/>
    </xf>
    <xf numFmtId="0" fontId="2" fillId="0" borderId="1" xfId="0" quotePrefix="1" applyFont="1" applyBorder="1" applyAlignment="1" applyProtection="1">
      <alignment horizontal="center" vertical="center"/>
      <protection locked="0"/>
    </xf>
    <xf numFmtId="165" fontId="2" fillId="0" borderId="1" xfId="3" applyNumberFormat="1" applyBorder="1" applyAlignment="1" applyProtection="1">
      <alignment horizontal="center" vertical="center"/>
      <protection locked="0"/>
    </xf>
    <xf numFmtId="0" fontId="5" fillId="3" borderId="1" xfId="3" applyFont="1" applyFill="1" applyBorder="1" applyAlignment="1" applyProtection="1">
      <alignment horizontal="center" vertical="justify" wrapText="1"/>
      <protection locked="0"/>
    </xf>
    <xf numFmtId="0" fontId="5" fillId="3" borderId="1" xfId="3" applyFont="1" applyFill="1" applyBorder="1" applyAlignment="1" applyProtection="1">
      <alignment horizontal="left" vertical="justify" wrapText="1"/>
      <protection locked="0"/>
    </xf>
    <xf numFmtId="0" fontId="5" fillId="3" borderId="1" xfId="3" applyFont="1" applyFill="1" applyBorder="1" applyAlignment="1" applyProtection="1">
      <alignment horizontal="center" vertical="center" wrapText="1"/>
      <protection locked="0"/>
    </xf>
    <xf numFmtId="0" fontId="5" fillId="3" borderId="1" xfId="3" applyFont="1" applyFill="1" applyBorder="1" applyAlignment="1" applyProtection="1">
      <alignment horizontal="left" vertical="center" wrapText="1"/>
      <protection locked="0"/>
    </xf>
    <xf numFmtId="43" fontId="5" fillId="3" borderId="1" xfId="1" applyFont="1" applyFill="1" applyBorder="1" applyAlignment="1" applyProtection="1">
      <alignment horizontal="right" vertical="center" wrapText="1"/>
      <protection locked="0"/>
    </xf>
    <xf numFmtId="0" fontId="7" fillId="0" borderId="1" xfId="0" applyFont="1" applyBorder="1" applyAlignment="1" applyProtection="1">
      <alignment horizontal="center" vertical="center"/>
      <protection locked="0"/>
    </xf>
    <xf numFmtId="0" fontId="7" fillId="0" borderId="1" xfId="0" applyFont="1" applyBorder="1" applyAlignment="1" applyProtection="1">
      <alignment horizontal="left" vertical="justify" wrapText="1"/>
      <protection locked="0"/>
    </xf>
    <xf numFmtId="0" fontId="7" fillId="0" borderId="1" xfId="0" applyFont="1" applyBorder="1" applyAlignment="1" applyProtection="1">
      <alignment horizontal="justify" vertical="justify" wrapText="1"/>
      <protection locked="0"/>
    </xf>
    <xf numFmtId="0" fontId="7" fillId="0" borderId="1" xfId="0" applyFont="1" applyBorder="1" applyAlignment="1" applyProtection="1">
      <alignment vertical="center"/>
      <protection locked="0"/>
    </xf>
    <xf numFmtId="2" fontId="2" fillId="0" borderId="1" xfId="2" applyNumberFormat="1" applyFont="1" applyBorder="1" applyProtection="1">
      <protection locked="0"/>
    </xf>
    <xf numFmtId="0" fontId="4" fillId="0" borderId="1" xfId="0" applyFont="1" applyBorder="1" applyAlignment="1" applyProtection="1">
      <alignment horizontal="justify" vertical="justify" wrapText="1"/>
      <protection locked="0"/>
    </xf>
    <xf numFmtId="0" fontId="2" fillId="0" borderId="1" xfId="0" applyFont="1" applyBorder="1" applyAlignment="1" applyProtection="1">
      <alignment horizontal="center" vertical="center" wrapText="1"/>
      <protection locked="0"/>
    </xf>
    <xf numFmtId="0" fontId="4" fillId="0" borderId="1" xfId="0" applyFont="1" applyBorder="1" applyAlignment="1" applyProtection="1">
      <alignment horizontal="left" vertical="justify" wrapText="1"/>
      <protection locked="0"/>
    </xf>
    <xf numFmtId="2" fontId="2" fillId="0" borderId="1" xfId="0" applyNumberFormat="1" applyFont="1" applyBorder="1" applyAlignment="1" applyProtection="1">
      <alignment horizontal="center" vertical="center" wrapText="1"/>
      <protection locked="0"/>
    </xf>
    <xf numFmtId="1" fontId="2" fillId="0" borderId="1" xfId="0" applyNumberFormat="1" applyFont="1" applyBorder="1" applyAlignment="1" applyProtection="1">
      <alignment horizontal="center" wrapText="1"/>
      <protection locked="0"/>
    </xf>
    <xf numFmtId="0" fontId="2" fillId="0" borderId="1" xfId="0" applyFont="1" applyBorder="1" applyAlignment="1" applyProtection="1">
      <alignment horizontal="center"/>
      <protection locked="0"/>
    </xf>
    <xf numFmtId="2" fontId="2" fillId="0" borderId="1" xfId="0" applyNumberFormat="1" applyFont="1" applyBorder="1" applyAlignment="1" applyProtection="1">
      <alignment vertical="center"/>
      <protection locked="0"/>
    </xf>
    <xf numFmtId="0" fontId="2" fillId="0" borderId="1" xfId="0" applyFont="1" applyBorder="1" applyAlignment="1" applyProtection="1">
      <alignment horizontal="left" vertical="justify" wrapText="1"/>
      <protection locked="0"/>
    </xf>
    <xf numFmtId="0" fontId="3" fillId="0" borderId="0" xfId="0" applyFont="1" applyProtection="1">
      <protection locked="0"/>
    </xf>
    <xf numFmtId="43" fontId="2" fillId="0" borderId="1" xfId="1" applyFont="1" applyBorder="1" applyAlignment="1" applyProtection="1">
      <alignment horizontal="center" vertical="center"/>
      <protection locked="0"/>
    </xf>
    <xf numFmtId="2" fontId="2" fillId="4" borderId="1" xfId="0" applyNumberFormat="1" applyFont="1" applyFill="1" applyBorder="1" applyAlignment="1" applyProtection="1">
      <alignment vertical="center"/>
      <protection locked="0"/>
    </xf>
    <xf numFmtId="0" fontId="3" fillId="0" borderId="0" xfId="0" applyFont="1" applyAlignment="1" applyProtection="1">
      <alignment vertical="center"/>
      <protection locked="0"/>
    </xf>
    <xf numFmtId="165" fontId="2" fillId="0" borderId="1" xfId="0" applyNumberFormat="1" applyFont="1" applyBorder="1" applyAlignment="1" applyProtection="1">
      <alignment horizontal="right" vertical="center" wrapText="1"/>
      <protection locked="0"/>
    </xf>
    <xf numFmtId="165" fontId="2" fillId="5" borderId="1" xfId="0" applyNumberFormat="1" applyFont="1" applyFill="1" applyBorder="1" applyAlignment="1" applyProtection="1">
      <alignment horizontal="center" vertical="center" wrapText="1"/>
      <protection locked="0"/>
    </xf>
    <xf numFmtId="0" fontId="2" fillId="5" borderId="1" xfId="0" applyFont="1" applyFill="1" applyBorder="1" applyAlignment="1" applyProtection="1">
      <alignment horizontal="justify" vertical="justify" wrapText="1"/>
      <protection locked="0"/>
    </xf>
    <xf numFmtId="1" fontId="2" fillId="5" borderId="1" xfId="0" applyNumberFormat="1" applyFont="1" applyFill="1" applyBorder="1" applyAlignment="1" applyProtection="1">
      <alignment horizontal="center" vertical="center" wrapText="1"/>
      <protection locked="0"/>
    </xf>
    <xf numFmtId="0" fontId="2" fillId="5" borderId="1" xfId="0" applyFont="1" applyFill="1" applyBorder="1" applyAlignment="1" applyProtection="1">
      <alignment horizontal="center" vertical="center"/>
      <protection locked="0"/>
    </xf>
    <xf numFmtId="43" fontId="2" fillId="0" borderId="1" xfId="1" applyFont="1" applyBorder="1" applyAlignment="1" applyProtection="1">
      <alignment horizontal="center"/>
      <protection locked="0"/>
    </xf>
    <xf numFmtId="0" fontId="2" fillId="4" borderId="1" xfId="0" applyFont="1" applyFill="1" applyBorder="1" applyAlignment="1" applyProtection="1">
      <alignment horizontal="center" vertical="center"/>
      <protection locked="0"/>
    </xf>
    <xf numFmtId="0" fontId="2" fillId="0" borderId="1" xfId="0" applyFont="1" applyBorder="1" applyAlignment="1" applyProtection="1">
      <alignment vertical="center"/>
      <protection locked="0"/>
    </xf>
    <xf numFmtId="43" fontId="2" fillId="0" borderId="1" xfId="1" applyFont="1" applyBorder="1" applyProtection="1">
      <protection locked="0"/>
    </xf>
    <xf numFmtId="0" fontId="2" fillId="4" borderId="1" xfId="0" applyFont="1" applyFill="1" applyBorder="1" applyAlignment="1" applyProtection="1">
      <alignment horizontal="center" vertical="center" wrapText="1"/>
      <protection locked="0"/>
    </xf>
    <xf numFmtId="0" fontId="4" fillId="4" borderId="1" xfId="3" applyFont="1" applyFill="1" applyBorder="1" applyAlignment="1" applyProtection="1">
      <alignment horizontal="left" vertical="justify" wrapText="1"/>
      <protection locked="0"/>
    </xf>
    <xf numFmtId="0" fontId="4" fillId="4" borderId="1" xfId="3" applyFont="1" applyFill="1" applyBorder="1" applyAlignment="1" applyProtection="1">
      <alignment horizontal="justify" vertical="justify" wrapText="1"/>
      <protection locked="0"/>
    </xf>
    <xf numFmtId="43" fontId="2" fillId="4" borderId="1" xfId="1" applyFont="1" applyFill="1" applyBorder="1" applyProtection="1">
      <protection locked="0"/>
    </xf>
    <xf numFmtId="0" fontId="4" fillId="0" borderId="1" xfId="3" applyFont="1" applyBorder="1" applyAlignment="1" applyProtection="1">
      <alignment horizontal="left" vertical="justify" wrapText="1"/>
      <protection locked="0"/>
    </xf>
    <xf numFmtId="0" fontId="4" fillId="0" borderId="1" xfId="3" applyFont="1" applyBorder="1" applyAlignment="1" applyProtection="1">
      <alignment horizontal="justify" vertical="justify" wrapText="1"/>
      <protection locked="0"/>
    </xf>
    <xf numFmtId="0" fontId="4" fillId="6" borderId="1" xfId="0" applyFont="1" applyFill="1" applyBorder="1" applyAlignment="1">
      <alignment horizontal="left" vertical="center" wrapText="1"/>
    </xf>
    <xf numFmtId="165" fontId="4" fillId="0" borderId="1" xfId="0" applyNumberFormat="1" applyFont="1" applyBorder="1" applyAlignment="1" applyProtection="1">
      <alignment horizontal="center" vertical="center" wrapText="1"/>
      <protection locked="0"/>
    </xf>
    <xf numFmtId="0" fontId="4" fillId="0" borderId="1" xfId="3" applyFont="1" applyBorder="1" applyAlignment="1" applyProtection="1">
      <alignment horizontal="center" vertical="justify" wrapText="1"/>
      <protection locked="0"/>
    </xf>
    <xf numFmtId="0" fontId="2" fillId="0" borderId="1" xfId="3" applyBorder="1" applyAlignment="1" applyProtection="1">
      <alignment horizontal="center" vertical="justify" wrapText="1"/>
      <protection locked="0"/>
    </xf>
    <xf numFmtId="1" fontId="4" fillId="0" borderId="1" xfId="0" applyNumberFormat="1" applyFont="1" applyBorder="1" applyAlignment="1" applyProtection="1">
      <alignment horizontal="center" vertical="center" wrapText="1"/>
      <protection locked="0"/>
    </xf>
    <xf numFmtId="43" fontId="3" fillId="0" borderId="0" xfId="1" applyFont="1" applyProtection="1">
      <protection locked="0"/>
    </xf>
    <xf numFmtId="43" fontId="5" fillId="3" borderId="1" xfId="1" applyFont="1" applyFill="1" applyBorder="1" applyAlignment="1" applyProtection="1">
      <alignment horizontal="right" vertical="justify" wrapText="1"/>
      <protection locked="0"/>
    </xf>
    <xf numFmtId="0" fontId="2" fillId="0" borderId="1" xfId="2" applyFont="1" applyBorder="1" applyAlignment="1" applyProtection="1">
      <alignment horizontal="center" vertical="center"/>
      <protection locked="0"/>
    </xf>
    <xf numFmtId="0" fontId="2" fillId="0" borderId="1" xfId="2" applyFont="1" applyBorder="1" applyAlignment="1" applyProtection="1">
      <alignment horizontal="left" wrapText="1"/>
      <protection locked="0"/>
    </xf>
    <xf numFmtId="43" fontId="4" fillId="0" borderId="1" xfId="1" applyFont="1" applyBorder="1" applyAlignment="1" applyProtection="1">
      <alignment horizontal="right"/>
      <protection locked="0"/>
    </xf>
    <xf numFmtId="0" fontId="2" fillId="0" borderId="1" xfId="2" quotePrefix="1" applyFont="1" applyBorder="1" applyAlignment="1" applyProtection="1">
      <alignment horizontal="center" vertical="center"/>
      <protection locked="0"/>
    </xf>
    <xf numFmtId="0" fontId="2" fillId="4" borderId="1" xfId="0" applyFont="1" applyFill="1" applyBorder="1" applyAlignment="1" applyProtection="1">
      <alignment horizontal="center"/>
      <protection locked="0"/>
    </xf>
    <xf numFmtId="0" fontId="5" fillId="3" borderId="1" xfId="3" quotePrefix="1" applyFont="1" applyFill="1" applyBorder="1" applyAlignment="1" applyProtection="1">
      <alignment horizontal="center" vertical="center" wrapText="1"/>
      <protection locked="0"/>
    </xf>
    <xf numFmtId="0" fontId="5" fillId="3" borderId="1" xfId="3" quotePrefix="1" applyFont="1" applyFill="1" applyBorder="1" applyAlignment="1" applyProtection="1">
      <alignment horizontal="left" vertical="center" wrapText="1"/>
      <protection locked="0"/>
    </xf>
    <xf numFmtId="43" fontId="5" fillId="3" borderId="1" xfId="1" quotePrefix="1" applyFont="1" applyFill="1" applyBorder="1" applyAlignment="1" applyProtection="1">
      <alignment horizontal="right" vertical="center" wrapText="1"/>
      <protection locked="0"/>
    </xf>
    <xf numFmtId="0" fontId="4" fillId="0" borderId="1" xfId="3" applyFont="1" applyBorder="1" applyAlignment="1" applyProtection="1">
      <alignment horizontal="center" vertical="center"/>
      <protection locked="0"/>
    </xf>
    <xf numFmtId="2" fontId="4" fillId="0" borderId="1" xfId="2" applyNumberFormat="1" applyFont="1" applyBorder="1" applyProtection="1">
      <protection locked="0"/>
    </xf>
    <xf numFmtId="0" fontId="3" fillId="0" borderId="1" xfId="3" quotePrefix="1" applyFont="1" applyBorder="1" applyAlignment="1" applyProtection="1">
      <alignment horizontal="left" vertical="center" wrapText="1"/>
      <protection locked="0"/>
    </xf>
    <xf numFmtId="0" fontId="4" fillId="7" borderId="1" xfId="0" applyFont="1" applyFill="1" applyBorder="1" applyAlignment="1" applyProtection="1">
      <alignment horizontal="left" vertical="top" wrapText="1"/>
      <protection locked="0"/>
    </xf>
    <xf numFmtId="0" fontId="4" fillId="0" borderId="1" xfId="0" applyFont="1" applyBorder="1" applyAlignment="1" applyProtection="1">
      <alignment horizontal="justify" vertical="top"/>
      <protection locked="0"/>
    </xf>
    <xf numFmtId="0" fontId="4" fillId="4" borderId="1" xfId="0" applyFont="1" applyFill="1" applyBorder="1" applyAlignment="1" applyProtection="1">
      <alignment horizontal="left" vertical="top" wrapText="1"/>
      <protection locked="0"/>
    </xf>
    <xf numFmtId="0" fontId="2" fillId="0" borderId="1" xfId="0" applyFont="1" applyBorder="1" applyAlignment="1" applyProtection="1">
      <alignment horizontal="justify" vertical="center" wrapText="1"/>
      <protection locked="0"/>
    </xf>
    <xf numFmtId="0" fontId="2" fillId="4" borderId="1" xfId="0" applyFont="1" applyFill="1" applyBorder="1" applyAlignment="1" applyProtection="1">
      <alignment horizontal="justify" vertical="top"/>
      <protection locked="0"/>
    </xf>
    <xf numFmtId="0" fontId="4" fillId="4" borderId="1" xfId="0" applyFont="1" applyFill="1" applyBorder="1" applyAlignment="1" applyProtection="1">
      <alignment horizontal="center" vertical="center"/>
      <protection locked="0"/>
    </xf>
    <xf numFmtId="0" fontId="4" fillId="4" borderId="1" xfId="0" applyFont="1" applyFill="1" applyBorder="1" applyAlignment="1" applyProtection="1">
      <alignment horizontal="left" vertical="center" wrapText="1"/>
      <protection locked="0"/>
    </xf>
    <xf numFmtId="0" fontId="4" fillId="4" borderId="1" xfId="0" applyFont="1" applyFill="1" applyBorder="1" applyAlignment="1" applyProtection="1">
      <alignment horizontal="justify" vertical="center"/>
      <protection locked="0"/>
    </xf>
    <xf numFmtId="0" fontId="4" fillId="0" borderId="1" xfId="3" applyFont="1" applyBorder="1" applyAlignment="1" applyProtection="1">
      <alignment horizontal="justify" vertical="center" wrapText="1"/>
      <protection locked="0"/>
    </xf>
    <xf numFmtId="2" fontId="4" fillId="0" borderId="1" xfId="2" applyNumberFormat="1" applyFont="1" applyBorder="1" applyAlignment="1" applyProtection="1">
      <alignment vertical="center"/>
      <protection locked="0"/>
    </xf>
    <xf numFmtId="0" fontId="2" fillId="0" borderId="1" xfId="0" applyFont="1" applyBorder="1" applyAlignment="1" applyProtection="1">
      <alignment horizontal="justify" vertical="top" wrapText="1"/>
      <protection locked="0"/>
    </xf>
    <xf numFmtId="0" fontId="2" fillId="4" borderId="1" xfId="0" applyFont="1" applyFill="1" applyBorder="1" applyAlignment="1" applyProtection="1">
      <alignment horizontal="left" vertical="top" wrapText="1"/>
      <protection locked="0"/>
    </xf>
    <xf numFmtId="0" fontId="2" fillId="4" borderId="1" xfId="0" applyFont="1" applyFill="1" applyBorder="1" applyAlignment="1" applyProtection="1">
      <alignment horizontal="justify" vertical="top" wrapText="1"/>
      <protection locked="0"/>
    </xf>
    <xf numFmtId="0" fontId="3" fillId="0" borderId="0" xfId="2" applyFont="1" applyAlignment="1" applyProtection="1">
      <alignment horizontal="center" vertical="center"/>
      <protection locked="0"/>
    </xf>
    <xf numFmtId="0" fontId="3" fillId="0" borderId="0" xfId="2" applyFont="1" applyAlignment="1" applyProtection="1">
      <alignment horizontal="center"/>
      <protection locked="0"/>
    </xf>
  </cellXfs>
  <cellStyles count="4">
    <cellStyle name="Comma" xfId="1" builtinId="3"/>
    <cellStyle name="Normal" xfId="0" builtinId="0"/>
    <cellStyle name="Normal 3" xfId="2" xr:uid="{AB38381E-3D19-4E0B-A5DC-7F297A964BCA}"/>
    <cellStyle name="Normal_BOQ-PL." xfId="3" xr:uid="{C865137B-5EC2-4D0C-A829-B290D6D8D0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AARYAJEET%20SURYA%203\0%20GCF%20DRAWING\PLUMBING%20AND%20FIRE%20GFC\BOQ%20PLUMBING%20AND%20FIRE\20251003_SURYA%20APARTMENT_PLU%20BOQ%20&amp;%20TENDER%20DOCUMENTS\20251003_SURYA%20APARTMENT_PLU%20%20BOQ.XLSX" TargetMode="External"/><Relationship Id="rId1" Type="http://schemas.openxmlformats.org/officeDocument/2006/relationships/externalLinkPath" Target="20251003_SURYA%20APARTMENT_PLU%20%20BOQ.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URY"/>
      <sheetName val="BOQ"/>
      <sheetName val="MEASUREMENT BREAK-UP"/>
    </sheetNames>
    <sheetDataSet>
      <sheetData sheetId="0">
        <row r="2">
          <cell r="A2" t="str">
            <v>PROJECT : SURYA APARTMENT</v>
          </cell>
        </row>
        <row r="3">
          <cell r="A3" t="str">
            <v xml:space="preserve">CLIENT : </v>
          </cell>
        </row>
        <row r="4">
          <cell r="A4" t="str">
            <v xml:space="preserve">MEPF CONSULTANT  : AASHIR ENGINEERING PVT. LTD. </v>
          </cell>
        </row>
        <row r="5">
          <cell r="A5" t="str">
            <v>DOCUMENTS  :PLUMBING BOQ</v>
          </cell>
        </row>
        <row r="6">
          <cell r="A6" t="str">
            <v>Date : 03.10.2025</v>
          </cell>
        </row>
        <row r="7">
          <cell r="A7" t="str">
            <v>REV. : R0</v>
          </cell>
        </row>
      </sheetData>
      <sheetData sheetId="1"/>
      <sheetData sheetId="2">
        <row r="18">
          <cell r="DF18">
            <v>653</v>
          </cell>
        </row>
        <row r="19">
          <cell r="DF19">
            <v>0</v>
          </cell>
        </row>
        <row r="20">
          <cell r="DF20">
            <v>653</v>
          </cell>
        </row>
        <row r="22">
          <cell r="DF22">
            <v>653</v>
          </cell>
        </row>
        <row r="24">
          <cell r="DF24">
            <v>653</v>
          </cell>
        </row>
        <row r="25">
          <cell r="DF25">
            <v>0</v>
          </cell>
        </row>
        <row r="26">
          <cell r="DF26">
            <v>653</v>
          </cell>
        </row>
        <row r="27">
          <cell r="DF27">
            <v>0</v>
          </cell>
        </row>
        <row r="29">
          <cell r="DF29">
            <v>0</v>
          </cell>
        </row>
        <row r="30">
          <cell r="DF30">
            <v>0</v>
          </cell>
        </row>
        <row r="31">
          <cell r="DF31">
            <v>0</v>
          </cell>
        </row>
        <row r="32">
          <cell r="DF32">
            <v>753</v>
          </cell>
        </row>
        <row r="33">
          <cell r="DF33">
            <v>0</v>
          </cell>
        </row>
        <row r="34">
          <cell r="DF34">
            <v>753</v>
          </cell>
        </row>
        <row r="35">
          <cell r="DF35">
            <v>0</v>
          </cell>
        </row>
        <row r="36">
          <cell r="DF36">
            <v>1255</v>
          </cell>
        </row>
        <row r="37">
          <cell r="DF37">
            <v>0</v>
          </cell>
        </row>
        <row r="38">
          <cell r="DF38">
            <v>0</v>
          </cell>
        </row>
        <row r="40">
          <cell r="DF40">
            <v>251</v>
          </cell>
        </row>
        <row r="42">
          <cell r="DF42">
            <v>0</v>
          </cell>
        </row>
        <row r="43">
          <cell r="DF43">
            <v>251</v>
          </cell>
        </row>
        <row r="44">
          <cell r="DF44">
            <v>0</v>
          </cell>
        </row>
        <row r="45">
          <cell r="DF45">
            <v>251</v>
          </cell>
        </row>
        <row r="46">
          <cell r="DF46">
            <v>0</v>
          </cell>
        </row>
        <row r="48">
          <cell r="DF48">
            <v>0</v>
          </cell>
        </row>
        <row r="50">
          <cell r="DF50">
            <v>0</v>
          </cell>
        </row>
        <row r="52">
          <cell r="DF52">
            <v>0</v>
          </cell>
        </row>
        <row r="53">
          <cell r="DF53">
            <v>0</v>
          </cell>
        </row>
        <row r="54">
          <cell r="DF54">
            <v>0</v>
          </cell>
        </row>
        <row r="55">
          <cell r="DF55">
            <v>0</v>
          </cell>
        </row>
        <row r="56">
          <cell r="DF56">
            <v>0</v>
          </cell>
        </row>
        <row r="58">
          <cell r="DF58">
            <v>0</v>
          </cell>
        </row>
        <row r="59">
          <cell r="DF59">
            <v>602</v>
          </cell>
        </row>
        <row r="60">
          <cell r="DF60">
            <v>0</v>
          </cell>
        </row>
        <row r="61">
          <cell r="DF61">
            <v>602</v>
          </cell>
        </row>
        <row r="62">
          <cell r="DF62">
            <v>0</v>
          </cell>
        </row>
        <row r="63">
          <cell r="DF63">
            <v>602</v>
          </cell>
        </row>
        <row r="64">
          <cell r="DF64">
            <v>0</v>
          </cell>
        </row>
        <row r="65">
          <cell r="DF65">
            <v>602</v>
          </cell>
        </row>
        <row r="66">
          <cell r="DF66">
            <v>0</v>
          </cell>
        </row>
        <row r="68">
          <cell r="DF68">
            <v>0</v>
          </cell>
        </row>
        <row r="70">
          <cell r="DF70">
            <v>0</v>
          </cell>
        </row>
        <row r="72">
          <cell r="DF72">
            <v>0</v>
          </cell>
        </row>
        <row r="73">
          <cell r="DF73">
            <v>0</v>
          </cell>
        </row>
        <row r="75">
          <cell r="DF75">
            <v>602</v>
          </cell>
        </row>
        <row r="76">
          <cell r="DF76">
            <v>0</v>
          </cell>
        </row>
        <row r="77">
          <cell r="DF77">
            <v>0</v>
          </cell>
        </row>
        <row r="78">
          <cell r="DF78">
            <v>0</v>
          </cell>
        </row>
        <row r="79">
          <cell r="DF79">
            <v>702</v>
          </cell>
        </row>
        <row r="80">
          <cell r="DF80">
            <v>0</v>
          </cell>
        </row>
        <row r="81">
          <cell r="DF81">
            <v>77</v>
          </cell>
        </row>
        <row r="82">
          <cell r="DF82">
            <v>0</v>
          </cell>
        </row>
        <row r="83">
          <cell r="DF83">
            <v>0</v>
          </cell>
        </row>
        <row r="84">
          <cell r="DF84">
            <v>0</v>
          </cell>
        </row>
        <row r="85">
          <cell r="DF85">
            <v>979</v>
          </cell>
        </row>
        <row r="86">
          <cell r="DF86">
            <v>0</v>
          </cell>
        </row>
        <row r="87">
          <cell r="DF87">
            <v>0</v>
          </cell>
        </row>
        <row r="88">
          <cell r="DF88">
            <v>0</v>
          </cell>
        </row>
        <row r="89">
          <cell r="DF89">
            <v>0</v>
          </cell>
        </row>
        <row r="90">
          <cell r="DF90">
            <v>0</v>
          </cell>
        </row>
        <row r="91">
          <cell r="DF91">
            <v>0</v>
          </cell>
        </row>
        <row r="92">
          <cell r="DF92">
            <v>0</v>
          </cell>
        </row>
        <row r="93">
          <cell r="DF93">
            <v>0</v>
          </cell>
        </row>
        <row r="95">
          <cell r="DF95">
            <v>11346</v>
          </cell>
        </row>
        <row r="96">
          <cell r="DF96">
            <v>6852</v>
          </cell>
        </row>
        <row r="100">
          <cell r="DF100">
            <v>0</v>
          </cell>
        </row>
        <row r="101">
          <cell r="DF101">
            <v>0</v>
          </cell>
        </row>
        <row r="102">
          <cell r="DF102">
            <v>0</v>
          </cell>
        </row>
        <row r="103">
          <cell r="DF103">
            <v>0</v>
          </cell>
        </row>
        <row r="106">
          <cell r="DF106">
            <v>1644</v>
          </cell>
        </row>
        <row r="108">
          <cell r="DF108">
            <v>3044</v>
          </cell>
        </row>
        <row r="109">
          <cell r="DF109">
            <v>1066</v>
          </cell>
        </row>
        <row r="110">
          <cell r="DF110">
            <v>504</v>
          </cell>
        </row>
        <row r="111">
          <cell r="DF111">
            <v>40</v>
          </cell>
        </row>
        <row r="112">
          <cell r="DF112">
            <v>33</v>
          </cell>
        </row>
        <row r="114">
          <cell r="DF114">
            <v>0</v>
          </cell>
        </row>
        <row r="115">
          <cell r="DF115">
            <v>0</v>
          </cell>
        </row>
        <row r="116">
          <cell r="DF116">
            <v>0</v>
          </cell>
        </row>
        <row r="117">
          <cell r="DF117">
            <v>0</v>
          </cell>
        </row>
        <row r="118">
          <cell r="DF118">
            <v>0</v>
          </cell>
        </row>
        <row r="119">
          <cell r="DF119">
            <v>0</v>
          </cell>
        </row>
        <row r="120">
          <cell r="DF120">
            <v>0</v>
          </cell>
        </row>
        <row r="121">
          <cell r="DF121">
            <v>0</v>
          </cell>
        </row>
        <row r="122">
          <cell r="DF122">
            <v>0</v>
          </cell>
        </row>
        <row r="123">
          <cell r="DF123">
            <v>0</v>
          </cell>
        </row>
        <row r="124">
          <cell r="DF124">
            <v>0</v>
          </cell>
        </row>
        <row r="125">
          <cell r="DF125">
            <v>0</v>
          </cell>
        </row>
        <row r="126">
          <cell r="DF126">
            <v>0</v>
          </cell>
        </row>
        <row r="127">
          <cell r="DF127">
            <v>0</v>
          </cell>
        </row>
        <row r="128">
          <cell r="DF128">
            <v>0</v>
          </cell>
        </row>
        <row r="129">
          <cell r="DF129">
            <v>0</v>
          </cell>
        </row>
        <row r="130">
          <cell r="DF130">
            <v>0</v>
          </cell>
        </row>
        <row r="131">
          <cell r="DF131">
            <v>0</v>
          </cell>
        </row>
        <row r="132">
          <cell r="DF132">
            <v>0</v>
          </cell>
        </row>
        <row r="133">
          <cell r="DF133">
            <v>0</v>
          </cell>
        </row>
        <row r="134">
          <cell r="DF134">
            <v>0</v>
          </cell>
        </row>
        <row r="135">
          <cell r="DF135">
            <v>0</v>
          </cell>
        </row>
        <row r="136">
          <cell r="DF136">
            <v>0</v>
          </cell>
        </row>
        <row r="137">
          <cell r="DF137">
            <v>0</v>
          </cell>
        </row>
        <row r="138">
          <cell r="DF138">
            <v>0</v>
          </cell>
        </row>
        <row r="139">
          <cell r="DF139">
            <v>0</v>
          </cell>
        </row>
        <row r="140">
          <cell r="DF140">
            <v>0</v>
          </cell>
        </row>
        <row r="141">
          <cell r="DF141">
            <v>0</v>
          </cell>
        </row>
        <row r="143">
          <cell r="DF143">
            <v>1896</v>
          </cell>
        </row>
        <row r="144">
          <cell r="DF144">
            <v>1264</v>
          </cell>
        </row>
        <row r="145">
          <cell r="DF145">
            <v>0</v>
          </cell>
        </row>
        <row r="146">
          <cell r="DF146">
            <v>0</v>
          </cell>
        </row>
        <row r="147">
          <cell r="DF147">
            <v>0</v>
          </cell>
        </row>
        <row r="148">
          <cell r="DF148">
            <v>0</v>
          </cell>
        </row>
        <row r="149">
          <cell r="DF149">
            <v>0</v>
          </cell>
        </row>
        <row r="150">
          <cell r="DF150">
            <v>0</v>
          </cell>
        </row>
        <row r="151">
          <cell r="DF151">
            <v>0</v>
          </cell>
        </row>
        <row r="152">
          <cell r="DF152">
            <v>0</v>
          </cell>
        </row>
        <row r="153">
          <cell r="DF153">
            <v>0</v>
          </cell>
        </row>
        <row r="154">
          <cell r="DF154">
            <v>0</v>
          </cell>
        </row>
        <row r="155">
          <cell r="DF155">
            <v>0</v>
          </cell>
        </row>
        <row r="156">
          <cell r="DF156">
            <v>0</v>
          </cell>
        </row>
        <row r="157">
          <cell r="DF157">
            <v>0</v>
          </cell>
        </row>
        <row r="158">
          <cell r="DF158">
            <v>0</v>
          </cell>
        </row>
        <row r="159">
          <cell r="DF159">
            <v>0</v>
          </cell>
        </row>
        <row r="160">
          <cell r="DF160">
            <v>0</v>
          </cell>
        </row>
        <row r="161">
          <cell r="DF161">
            <v>0</v>
          </cell>
        </row>
        <row r="162">
          <cell r="DF162">
            <v>0</v>
          </cell>
        </row>
        <row r="163">
          <cell r="DF163">
            <v>0</v>
          </cell>
        </row>
        <row r="164">
          <cell r="DF164">
            <v>0</v>
          </cell>
        </row>
        <row r="165">
          <cell r="DF165">
            <v>0</v>
          </cell>
        </row>
        <row r="166">
          <cell r="DF166">
            <v>0</v>
          </cell>
        </row>
        <row r="167">
          <cell r="DF167">
            <v>0</v>
          </cell>
        </row>
        <row r="168">
          <cell r="DF168">
            <v>0</v>
          </cell>
        </row>
        <row r="169">
          <cell r="DF169">
            <v>0</v>
          </cell>
        </row>
        <row r="172">
          <cell r="DF172">
            <v>896</v>
          </cell>
        </row>
        <row r="174">
          <cell r="DF174">
            <v>148</v>
          </cell>
        </row>
        <row r="175">
          <cell r="DF175">
            <v>115</v>
          </cell>
        </row>
        <row r="176">
          <cell r="DF176">
            <v>0</v>
          </cell>
        </row>
        <row r="177">
          <cell r="DF177">
            <v>0</v>
          </cell>
        </row>
        <row r="184">
          <cell r="DF184">
            <v>0</v>
          </cell>
        </row>
        <row r="185">
          <cell r="DF185">
            <v>0</v>
          </cell>
        </row>
        <row r="187">
          <cell r="DF187">
            <v>65</v>
          </cell>
        </row>
        <row r="188">
          <cell r="DF188">
            <v>36</v>
          </cell>
        </row>
        <row r="189">
          <cell r="DF189">
            <v>17</v>
          </cell>
        </row>
        <row r="191">
          <cell r="DF191">
            <v>0</v>
          </cell>
        </row>
        <row r="192">
          <cell r="DF192">
            <v>0</v>
          </cell>
        </row>
        <row r="193">
          <cell r="DF193">
            <v>0</v>
          </cell>
        </row>
        <row r="194">
          <cell r="DF194">
            <v>0</v>
          </cell>
        </row>
        <row r="195">
          <cell r="DF195">
            <v>0</v>
          </cell>
        </row>
        <row r="196">
          <cell r="DF196">
            <v>0</v>
          </cell>
        </row>
        <row r="197">
          <cell r="DF197">
            <v>0</v>
          </cell>
        </row>
        <row r="201">
          <cell r="DF201">
            <v>0</v>
          </cell>
        </row>
        <row r="202">
          <cell r="DF202">
            <v>0</v>
          </cell>
        </row>
        <row r="203">
          <cell r="DF203">
            <v>0</v>
          </cell>
        </row>
        <row r="204">
          <cell r="DF204">
            <v>0</v>
          </cell>
        </row>
        <row r="206">
          <cell r="DF206">
            <v>5</v>
          </cell>
        </row>
        <row r="207">
          <cell r="DF207">
            <v>5</v>
          </cell>
        </row>
        <row r="208">
          <cell r="DF208">
            <v>0</v>
          </cell>
        </row>
        <row r="209">
          <cell r="DF209">
            <v>0</v>
          </cell>
        </row>
        <row r="210">
          <cell r="DF210">
            <v>0</v>
          </cell>
        </row>
        <row r="211">
          <cell r="DF211">
            <v>0</v>
          </cell>
        </row>
        <row r="213">
          <cell r="DF213">
            <v>15</v>
          </cell>
        </row>
        <row r="214">
          <cell r="DF214">
            <v>0</v>
          </cell>
        </row>
        <row r="215">
          <cell r="DF215">
            <v>0</v>
          </cell>
        </row>
        <row r="218">
          <cell r="DF218">
            <v>10</v>
          </cell>
        </row>
        <row r="222">
          <cell r="DF222">
            <v>0</v>
          </cell>
        </row>
        <row r="223">
          <cell r="DF223">
            <v>0</v>
          </cell>
        </row>
        <row r="230">
          <cell r="DF230">
            <v>0</v>
          </cell>
        </row>
        <row r="231">
          <cell r="DF231">
            <v>0</v>
          </cell>
        </row>
        <row r="235">
          <cell r="DF235">
            <v>0</v>
          </cell>
        </row>
        <row r="236">
          <cell r="DF236">
            <v>0</v>
          </cell>
        </row>
        <row r="242">
          <cell r="DF242">
            <v>1</v>
          </cell>
        </row>
        <row r="243">
          <cell r="DF243">
            <v>6</v>
          </cell>
        </row>
        <row r="245">
          <cell r="DF245">
            <v>0</v>
          </cell>
        </row>
        <row r="246">
          <cell r="DF246">
            <v>0</v>
          </cell>
        </row>
        <row r="248">
          <cell r="DF248">
            <v>29</v>
          </cell>
        </row>
        <row r="250">
          <cell r="DF250">
            <v>40</v>
          </cell>
        </row>
        <row r="251">
          <cell r="DF251">
            <v>2</v>
          </cell>
        </row>
        <row r="253">
          <cell r="DF253">
            <v>0</v>
          </cell>
        </row>
        <row r="254">
          <cell r="DF254">
            <v>0</v>
          </cell>
        </row>
        <row r="255">
          <cell r="DF255">
            <v>0</v>
          </cell>
        </row>
        <row r="257">
          <cell r="DF257">
            <v>10</v>
          </cell>
        </row>
        <row r="258">
          <cell r="DF258">
            <v>0</v>
          </cell>
        </row>
        <row r="259">
          <cell r="DF259">
            <v>0</v>
          </cell>
        </row>
        <row r="265">
          <cell r="DF265">
            <v>0</v>
          </cell>
        </row>
        <row r="266">
          <cell r="DF266">
            <v>0</v>
          </cell>
        </row>
        <row r="270">
          <cell r="DF270">
            <v>0</v>
          </cell>
        </row>
        <row r="272">
          <cell r="DF272">
            <v>0</v>
          </cell>
        </row>
        <row r="273">
          <cell r="DF273">
            <v>0</v>
          </cell>
        </row>
        <row r="274">
          <cell r="DF274">
            <v>0</v>
          </cell>
        </row>
        <row r="275">
          <cell r="DF275">
            <v>0</v>
          </cell>
        </row>
        <row r="276">
          <cell r="DF276">
            <v>0</v>
          </cell>
        </row>
        <row r="278">
          <cell r="DF278">
            <v>37</v>
          </cell>
        </row>
        <row r="280">
          <cell r="DF280">
            <v>89</v>
          </cell>
        </row>
        <row r="282">
          <cell r="DF282">
            <v>32</v>
          </cell>
        </row>
        <row r="286">
          <cell r="DF286">
            <v>0</v>
          </cell>
        </row>
        <row r="287">
          <cell r="DF287">
            <v>0</v>
          </cell>
        </row>
        <row r="288">
          <cell r="DF288">
            <v>0</v>
          </cell>
        </row>
        <row r="292">
          <cell r="DF292">
            <v>2268</v>
          </cell>
        </row>
        <row r="293">
          <cell r="DF293">
            <v>3067</v>
          </cell>
        </row>
        <row r="295">
          <cell r="DF295">
            <v>4890</v>
          </cell>
        </row>
        <row r="296">
          <cell r="DF296">
            <v>3669</v>
          </cell>
        </row>
        <row r="300">
          <cell r="DF300">
            <v>0</v>
          </cell>
        </row>
        <row r="301">
          <cell r="DF301">
            <v>0</v>
          </cell>
        </row>
        <row r="302">
          <cell r="DF302">
            <v>51</v>
          </cell>
        </row>
        <row r="304">
          <cell r="DF304">
            <v>1038</v>
          </cell>
        </row>
        <row r="305">
          <cell r="DF305">
            <v>0</v>
          </cell>
        </row>
        <row r="306">
          <cell r="DF306">
            <v>979</v>
          </cell>
        </row>
        <row r="307">
          <cell r="DF307">
            <v>0</v>
          </cell>
        </row>
        <row r="308">
          <cell r="DF308">
            <v>2</v>
          </cell>
        </row>
        <row r="309">
          <cell r="DF309">
            <v>0</v>
          </cell>
        </row>
        <row r="310">
          <cell r="DF310">
            <v>0</v>
          </cell>
        </row>
        <row r="311">
          <cell r="DF311">
            <v>0</v>
          </cell>
        </row>
        <row r="312">
          <cell r="DF312">
            <v>0</v>
          </cell>
        </row>
        <row r="314">
          <cell r="DF314">
            <v>13</v>
          </cell>
        </row>
        <row r="315">
          <cell r="DF315">
            <v>44</v>
          </cell>
        </row>
        <row r="317">
          <cell r="DF317">
            <v>0</v>
          </cell>
        </row>
        <row r="318">
          <cell r="DF318">
            <v>0</v>
          </cell>
        </row>
        <row r="323">
          <cell r="DF323">
            <v>0</v>
          </cell>
        </row>
        <row r="324">
          <cell r="DF324">
            <v>0</v>
          </cell>
        </row>
        <row r="325">
          <cell r="DF325">
            <v>0</v>
          </cell>
        </row>
        <row r="326">
          <cell r="DF326">
            <v>0</v>
          </cell>
        </row>
        <row r="327">
          <cell r="DF327">
            <v>0</v>
          </cell>
        </row>
        <row r="328">
          <cell r="DF328">
            <v>0</v>
          </cell>
        </row>
        <row r="329">
          <cell r="DF329">
            <v>0</v>
          </cell>
        </row>
        <row r="330">
          <cell r="DF330">
            <v>0</v>
          </cell>
        </row>
        <row r="331">
          <cell r="DF331">
            <v>0</v>
          </cell>
        </row>
        <row r="332">
          <cell r="DF332">
            <v>0</v>
          </cell>
        </row>
        <row r="333">
          <cell r="DF333">
            <v>0</v>
          </cell>
        </row>
        <row r="334">
          <cell r="DF334">
            <v>0</v>
          </cell>
        </row>
        <row r="335">
          <cell r="DF335">
            <v>0</v>
          </cell>
        </row>
        <row r="336">
          <cell r="DF336">
            <v>0</v>
          </cell>
        </row>
        <row r="337">
          <cell r="DF337">
            <v>0</v>
          </cell>
        </row>
        <row r="338">
          <cell r="DF338">
            <v>0</v>
          </cell>
        </row>
        <row r="339">
          <cell r="DF339">
            <v>0</v>
          </cell>
        </row>
        <row r="340">
          <cell r="DF340">
            <v>0</v>
          </cell>
        </row>
        <row r="341">
          <cell r="DF341">
            <v>0</v>
          </cell>
        </row>
        <row r="342">
          <cell r="DF342">
            <v>0</v>
          </cell>
        </row>
        <row r="343">
          <cell r="DF343">
            <v>0</v>
          </cell>
        </row>
        <row r="344">
          <cell r="DF344">
            <v>0</v>
          </cell>
        </row>
        <row r="345">
          <cell r="DF345">
            <v>0</v>
          </cell>
        </row>
        <row r="346">
          <cell r="DF346">
            <v>0</v>
          </cell>
        </row>
        <row r="347">
          <cell r="DF347">
            <v>0</v>
          </cell>
        </row>
        <row r="348">
          <cell r="DF348">
            <v>0</v>
          </cell>
        </row>
        <row r="349">
          <cell r="DF349">
            <v>0</v>
          </cell>
        </row>
        <row r="350">
          <cell r="DF350">
            <v>0</v>
          </cell>
        </row>
        <row r="351">
          <cell r="DF351">
            <v>0</v>
          </cell>
        </row>
        <row r="352">
          <cell r="DF352">
            <v>0</v>
          </cell>
        </row>
        <row r="353">
          <cell r="DF353">
            <v>0</v>
          </cell>
        </row>
        <row r="354">
          <cell r="DF354">
            <v>0</v>
          </cell>
        </row>
        <row r="355">
          <cell r="DF355">
            <v>0</v>
          </cell>
        </row>
        <row r="356">
          <cell r="DF356">
            <v>0</v>
          </cell>
        </row>
        <row r="357">
          <cell r="DF357">
            <v>0</v>
          </cell>
        </row>
        <row r="360">
          <cell r="DF360">
            <v>392</v>
          </cell>
        </row>
        <row r="361">
          <cell r="DF361">
            <v>236</v>
          </cell>
        </row>
        <row r="363">
          <cell r="DF363">
            <v>0</v>
          </cell>
        </row>
        <row r="364">
          <cell r="DF364">
            <v>0</v>
          </cell>
        </row>
        <row r="365">
          <cell r="DF365">
            <v>0</v>
          </cell>
        </row>
        <row r="366">
          <cell r="DF366">
            <v>0</v>
          </cell>
        </row>
        <row r="367">
          <cell r="DF367">
            <v>0</v>
          </cell>
        </row>
        <row r="368">
          <cell r="DF368">
            <v>0</v>
          </cell>
        </row>
        <row r="369">
          <cell r="DF369">
            <v>0</v>
          </cell>
        </row>
        <row r="370">
          <cell r="DF370">
            <v>0</v>
          </cell>
        </row>
        <row r="371">
          <cell r="DF371">
            <v>0</v>
          </cell>
        </row>
        <row r="372">
          <cell r="DF372">
            <v>0</v>
          </cell>
        </row>
        <row r="377">
          <cell r="DF377">
            <v>0</v>
          </cell>
        </row>
        <row r="378">
          <cell r="DF378">
            <v>0</v>
          </cell>
        </row>
        <row r="379">
          <cell r="DF379">
            <v>0</v>
          </cell>
        </row>
        <row r="380">
          <cell r="DF380">
            <v>0</v>
          </cell>
        </row>
        <row r="381">
          <cell r="DF381">
            <v>0</v>
          </cell>
        </row>
        <row r="382">
          <cell r="DF382">
            <v>0</v>
          </cell>
        </row>
        <row r="389">
          <cell r="DF389">
            <v>5</v>
          </cell>
        </row>
        <row r="390">
          <cell r="DF390">
            <v>16</v>
          </cell>
        </row>
        <row r="391">
          <cell r="DF391">
            <v>0</v>
          </cell>
        </row>
        <row r="392">
          <cell r="DF392">
            <v>0</v>
          </cell>
        </row>
        <row r="393">
          <cell r="DF393">
            <v>0</v>
          </cell>
        </row>
        <row r="394">
          <cell r="DF394">
            <v>0</v>
          </cell>
        </row>
        <row r="395">
          <cell r="DF395">
            <v>0</v>
          </cell>
        </row>
        <row r="396">
          <cell r="DF396">
            <v>0</v>
          </cell>
        </row>
        <row r="397">
          <cell r="DF397">
            <v>0</v>
          </cell>
        </row>
        <row r="398">
          <cell r="DF398">
            <v>0</v>
          </cell>
        </row>
        <row r="399">
          <cell r="DF399">
            <v>0</v>
          </cell>
        </row>
        <row r="400">
          <cell r="DF400">
            <v>0</v>
          </cell>
        </row>
        <row r="401">
          <cell r="DF401">
            <v>0</v>
          </cell>
        </row>
        <row r="404">
          <cell r="DF404">
            <v>0</v>
          </cell>
        </row>
        <row r="405">
          <cell r="DF405">
            <v>0</v>
          </cell>
        </row>
        <row r="408">
          <cell r="DF408">
            <v>0</v>
          </cell>
        </row>
        <row r="410">
          <cell r="DF410">
            <v>0</v>
          </cell>
        </row>
        <row r="411">
          <cell r="DF411">
            <v>0</v>
          </cell>
        </row>
        <row r="415">
          <cell r="DF415">
            <v>0</v>
          </cell>
        </row>
        <row r="416">
          <cell r="DF416">
            <v>0</v>
          </cell>
        </row>
        <row r="418">
          <cell r="DF418">
            <v>0</v>
          </cell>
        </row>
        <row r="420">
          <cell r="DF420">
            <v>0</v>
          </cell>
        </row>
        <row r="421">
          <cell r="DF421">
            <v>0</v>
          </cell>
        </row>
        <row r="423">
          <cell r="DF423">
            <v>0</v>
          </cell>
        </row>
        <row r="425">
          <cell r="DF425">
            <v>0</v>
          </cell>
        </row>
        <row r="426">
          <cell r="DF426">
            <v>0</v>
          </cell>
        </row>
        <row r="427">
          <cell r="DF427">
            <v>0</v>
          </cell>
        </row>
        <row r="428">
          <cell r="DF428">
            <v>0</v>
          </cell>
        </row>
        <row r="429">
          <cell r="DF429">
            <v>0</v>
          </cell>
        </row>
        <row r="430">
          <cell r="DF430">
            <v>0</v>
          </cell>
        </row>
        <row r="431">
          <cell r="DF431">
            <v>0</v>
          </cell>
        </row>
        <row r="432">
          <cell r="DF432">
            <v>0</v>
          </cell>
        </row>
        <row r="433">
          <cell r="DF433">
            <v>0</v>
          </cell>
        </row>
        <row r="434">
          <cell r="DF434">
            <v>0</v>
          </cell>
        </row>
        <row r="435">
          <cell r="DF435">
            <v>0</v>
          </cell>
        </row>
        <row r="436">
          <cell r="DF436">
            <v>0</v>
          </cell>
        </row>
        <row r="437">
          <cell r="DF437">
            <v>0</v>
          </cell>
        </row>
        <row r="438">
          <cell r="DF438">
            <v>0</v>
          </cell>
        </row>
        <row r="439">
          <cell r="DF439">
            <v>0</v>
          </cell>
        </row>
        <row r="440">
          <cell r="DF440">
            <v>0</v>
          </cell>
        </row>
        <row r="441">
          <cell r="DF441">
            <v>0</v>
          </cell>
        </row>
        <row r="450">
          <cell r="DF450">
            <v>0</v>
          </cell>
        </row>
        <row r="451">
          <cell r="DF451">
            <v>0</v>
          </cell>
        </row>
        <row r="452">
          <cell r="DF452">
            <v>0</v>
          </cell>
        </row>
        <row r="453">
          <cell r="DF453">
            <v>0</v>
          </cell>
        </row>
        <row r="454">
          <cell r="DF454">
            <v>0</v>
          </cell>
        </row>
        <row r="455">
          <cell r="DF455">
            <v>20</v>
          </cell>
        </row>
        <row r="456">
          <cell r="DF456">
            <v>0</v>
          </cell>
        </row>
        <row r="458">
          <cell r="DF458">
            <v>0</v>
          </cell>
        </row>
        <row r="459">
          <cell r="DF459">
            <v>0</v>
          </cell>
        </row>
        <row r="460">
          <cell r="DF460">
            <v>290</v>
          </cell>
        </row>
        <row r="462">
          <cell r="DF462">
            <v>0</v>
          </cell>
        </row>
        <row r="463">
          <cell r="DF463">
            <v>0</v>
          </cell>
        </row>
        <row r="467">
          <cell r="DF467">
            <v>0</v>
          </cell>
        </row>
        <row r="468">
          <cell r="DF468">
            <v>1</v>
          </cell>
        </row>
        <row r="469">
          <cell r="DF469">
            <v>0</v>
          </cell>
        </row>
        <row r="470">
          <cell r="DF470">
            <v>1</v>
          </cell>
        </row>
        <row r="471">
          <cell r="DF471">
            <v>0</v>
          </cell>
        </row>
        <row r="472">
          <cell r="DF472">
            <v>0</v>
          </cell>
        </row>
        <row r="473">
          <cell r="DF473">
            <v>0</v>
          </cell>
        </row>
        <row r="474">
          <cell r="DF474">
            <v>0</v>
          </cell>
        </row>
        <row r="475">
          <cell r="DF475">
            <v>0</v>
          </cell>
        </row>
        <row r="478">
          <cell r="DF478">
            <v>0</v>
          </cell>
        </row>
        <row r="482">
          <cell r="DF482">
            <v>0</v>
          </cell>
        </row>
        <row r="483">
          <cell r="DF483">
            <v>0</v>
          </cell>
        </row>
        <row r="484">
          <cell r="DF484">
            <v>0</v>
          </cell>
        </row>
        <row r="485">
          <cell r="DF485">
            <v>0</v>
          </cell>
        </row>
        <row r="486">
          <cell r="DF486">
            <v>0</v>
          </cell>
        </row>
        <row r="487">
          <cell r="DF487">
            <v>0</v>
          </cell>
        </row>
        <row r="488">
          <cell r="DF488">
            <v>0</v>
          </cell>
        </row>
        <row r="489">
          <cell r="DF489">
            <v>0</v>
          </cell>
        </row>
        <row r="490">
          <cell r="DF490">
            <v>1</v>
          </cell>
        </row>
        <row r="491">
          <cell r="DF491">
            <v>0</v>
          </cell>
        </row>
        <row r="492">
          <cell r="DF492">
            <v>1</v>
          </cell>
        </row>
        <row r="493">
          <cell r="DF493">
            <v>0</v>
          </cell>
        </row>
        <row r="494">
          <cell r="DF494">
            <v>1</v>
          </cell>
        </row>
        <row r="495">
          <cell r="DF495">
            <v>0</v>
          </cell>
        </row>
        <row r="496">
          <cell r="DF496">
            <v>1</v>
          </cell>
        </row>
        <row r="497">
          <cell r="DF497">
            <v>0</v>
          </cell>
        </row>
        <row r="498">
          <cell r="DF498">
            <v>5</v>
          </cell>
        </row>
        <row r="499">
          <cell r="DF499">
            <v>0</v>
          </cell>
        </row>
        <row r="500">
          <cell r="DF500">
            <v>0</v>
          </cell>
        </row>
        <row r="501">
          <cell r="DF501">
            <v>0</v>
          </cell>
        </row>
        <row r="502">
          <cell r="DF502">
            <v>2</v>
          </cell>
        </row>
        <row r="503">
          <cell r="DF503">
            <v>0</v>
          </cell>
        </row>
        <row r="504">
          <cell r="DF504">
            <v>0</v>
          </cell>
        </row>
        <row r="506">
          <cell r="DF506">
            <v>0</v>
          </cell>
        </row>
        <row r="507">
          <cell r="DF507">
            <v>1519</v>
          </cell>
        </row>
        <row r="508">
          <cell r="DF508">
            <v>493</v>
          </cell>
        </row>
        <row r="509">
          <cell r="DF509">
            <v>21</v>
          </cell>
        </row>
        <row r="513">
          <cell r="DF513">
            <v>0</v>
          </cell>
        </row>
        <row r="514">
          <cell r="DF514">
            <v>0</v>
          </cell>
        </row>
        <row r="515">
          <cell r="DF515">
            <v>0</v>
          </cell>
        </row>
        <row r="517">
          <cell r="DF517">
            <v>25</v>
          </cell>
        </row>
        <row r="518">
          <cell r="DF518">
            <v>53</v>
          </cell>
        </row>
        <row r="519">
          <cell r="DF519">
            <v>105</v>
          </cell>
        </row>
        <row r="520">
          <cell r="DF520">
            <v>0</v>
          </cell>
        </row>
        <row r="521">
          <cell r="DF521">
            <v>0</v>
          </cell>
        </row>
        <row r="528">
          <cell r="DF528">
            <v>0</v>
          </cell>
        </row>
        <row r="529">
          <cell r="DF529">
            <v>0</v>
          </cell>
        </row>
        <row r="530">
          <cell r="DF530">
            <v>0</v>
          </cell>
        </row>
        <row r="531">
          <cell r="DF531">
            <v>5</v>
          </cell>
        </row>
        <row r="532">
          <cell r="DF532">
            <v>9</v>
          </cell>
        </row>
        <row r="535">
          <cell r="DF535">
            <v>0</v>
          </cell>
        </row>
        <row r="536">
          <cell r="DF536">
            <v>0</v>
          </cell>
        </row>
        <row r="537">
          <cell r="DF537">
            <v>0</v>
          </cell>
        </row>
        <row r="539">
          <cell r="DF539">
            <v>8</v>
          </cell>
        </row>
        <row r="541">
          <cell r="DF541">
            <v>4</v>
          </cell>
        </row>
        <row r="543">
          <cell r="DF543">
            <v>0</v>
          </cell>
        </row>
        <row r="544">
          <cell r="DF544">
            <v>0</v>
          </cell>
        </row>
        <row r="545">
          <cell r="DF545">
            <v>0</v>
          </cell>
        </row>
        <row r="546">
          <cell r="DF546">
            <v>0</v>
          </cell>
        </row>
        <row r="547">
          <cell r="DF547">
            <v>0</v>
          </cell>
        </row>
        <row r="548">
          <cell r="DF548">
            <v>0</v>
          </cell>
        </row>
        <row r="549">
          <cell r="DF549">
            <v>0</v>
          </cell>
        </row>
        <row r="551">
          <cell r="DF551">
            <v>8</v>
          </cell>
        </row>
        <row r="556">
          <cell r="DF556">
            <v>0</v>
          </cell>
        </row>
        <row r="557">
          <cell r="DF557">
            <v>0</v>
          </cell>
        </row>
        <row r="558">
          <cell r="DF558">
            <v>0</v>
          </cell>
        </row>
        <row r="559">
          <cell r="DF559">
            <v>0</v>
          </cell>
        </row>
        <row r="560">
          <cell r="DF560">
            <v>0</v>
          </cell>
        </row>
        <row r="561">
          <cell r="DF561">
            <v>0</v>
          </cell>
        </row>
        <row r="562">
          <cell r="DF562">
            <v>20</v>
          </cell>
        </row>
        <row r="563">
          <cell r="DF563">
            <v>0</v>
          </cell>
        </row>
        <row r="564">
          <cell r="DF564">
            <v>0</v>
          </cell>
        </row>
        <row r="574">
          <cell r="DF574">
            <v>0</v>
          </cell>
        </row>
        <row r="575">
          <cell r="DF575">
            <v>0</v>
          </cell>
        </row>
        <row r="576">
          <cell r="DF576">
            <v>700</v>
          </cell>
        </row>
        <row r="577">
          <cell r="DF577">
            <v>0</v>
          </cell>
        </row>
        <row r="578">
          <cell r="DF578">
            <v>0</v>
          </cell>
        </row>
        <row r="579">
          <cell r="DF579">
            <v>0</v>
          </cell>
        </row>
        <row r="580">
          <cell r="DF580">
            <v>0</v>
          </cell>
        </row>
        <row r="584">
          <cell r="DF584">
            <v>0</v>
          </cell>
        </row>
        <row r="585">
          <cell r="DF585">
            <v>0</v>
          </cell>
        </row>
        <row r="604">
          <cell r="DF604">
            <v>0</v>
          </cell>
        </row>
        <row r="606">
          <cell r="DF606">
            <v>0</v>
          </cell>
        </row>
        <row r="608">
          <cell r="DF608">
            <v>0</v>
          </cell>
        </row>
        <row r="609">
          <cell r="DF609">
            <v>0</v>
          </cell>
        </row>
        <row r="610">
          <cell r="DF610">
            <v>0</v>
          </cell>
        </row>
        <row r="611">
          <cell r="DF611">
            <v>0</v>
          </cell>
        </row>
        <row r="612">
          <cell r="DF612">
            <v>0</v>
          </cell>
        </row>
        <row r="613">
          <cell r="DF613">
            <v>0</v>
          </cell>
        </row>
        <row r="615">
          <cell r="DF615">
            <v>0</v>
          </cell>
        </row>
        <row r="616">
          <cell r="DF616">
            <v>0</v>
          </cell>
        </row>
        <row r="617">
          <cell r="DF617">
            <v>0</v>
          </cell>
        </row>
        <row r="618">
          <cell r="DF618">
            <v>0</v>
          </cell>
        </row>
        <row r="619">
          <cell r="DF619">
            <v>2</v>
          </cell>
        </row>
        <row r="621">
          <cell r="DF621">
            <v>0</v>
          </cell>
        </row>
        <row r="622">
          <cell r="DF622">
            <v>0</v>
          </cell>
        </row>
        <row r="623">
          <cell r="DF623">
            <v>0</v>
          </cell>
        </row>
        <row r="625">
          <cell r="DF625">
            <v>0</v>
          </cell>
        </row>
        <row r="626">
          <cell r="DF626">
            <v>0</v>
          </cell>
        </row>
        <row r="627">
          <cell r="DF627">
            <v>0</v>
          </cell>
        </row>
        <row r="628">
          <cell r="DF628">
            <v>0</v>
          </cell>
        </row>
        <row r="629">
          <cell r="DF629">
            <v>0</v>
          </cell>
        </row>
        <row r="630">
          <cell r="DF630">
            <v>0</v>
          </cell>
        </row>
        <row r="631">
          <cell r="DF631">
            <v>0</v>
          </cell>
        </row>
        <row r="632">
          <cell r="DF632">
            <v>0</v>
          </cell>
        </row>
        <row r="633">
          <cell r="DF633">
            <v>0</v>
          </cell>
        </row>
        <row r="634">
          <cell r="DF634">
            <v>0</v>
          </cell>
        </row>
        <row r="635">
          <cell r="DF635">
            <v>0</v>
          </cell>
        </row>
        <row r="636">
          <cell r="DF636">
            <v>0</v>
          </cell>
        </row>
        <row r="637">
          <cell r="DF637">
            <v>0</v>
          </cell>
        </row>
        <row r="638">
          <cell r="DF638">
            <v>0</v>
          </cell>
        </row>
        <row r="639">
          <cell r="DF639">
            <v>0</v>
          </cell>
        </row>
        <row r="640">
          <cell r="DF640">
            <v>0</v>
          </cell>
        </row>
        <row r="641">
          <cell r="DF641">
            <v>0</v>
          </cell>
        </row>
        <row r="642">
          <cell r="DF642">
            <v>0</v>
          </cell>
        </row>
        <row r="643">
          <cell r="DF643">
            <v>0</v>
          </cell>
        </row>
        <row r="644">
          <cell r="DF644">
            <v>0</v>
          </cell>
        </row>
        <row r="645">
          <cell r="DF645">
            <v>0</v>
          </cell>
        </row>
        <row r="646">
          <cell r="DF646">
            <v>0</v>
          </cell>
        </row>
        <row r="647">
          <cell r="DF647">
            <v>0</v>
          </cell>
        </row>
        <row r="648">
          <cell r="DF648">
            <v>0</v>
          </cell>
        </row>
        <row r="649">
          <cell r="DF649">
            <v>0</v>
          </cell>
        </row>
        <row r="650">
          <cell r="DF650">
            <v>0</v>
          </cell>
        </row>
        <row r="651">
          <cell r="DF651">
            <v>0</v>
          </cell>
        </row>
        <row r="652">
          <cell r="DF652">
            <v>0</v>
          </cell>
        </row>
        <row r="653">
          <cell r="DF653">
            <v>0</v>
          </cell>
        </row>
        <row r="654">
          <cell r="DF654">
            <v>0</v>
          </cell>
        </row>
        <row r="655">
          <cell r="DF655">
            <v>0</v>
          </cell>
        </row>
        <row r="656">
          <cell r="DF656">
            <v>0</v>
          </cell>
        </row>
        <row r="657">
          <cell r="DF657">
            <v>0</v>
          </cell>
        </row>
        <row r="658">
          <cell r="DF658">
            <v>0</v>
          </cell>
        </row>
        <row r="659">
          <cell r="DF659">
            <v>0</v>
          </cell>
        </row>
        <row r="660">
          <cell r="DF660">
            <v>0</v>
          </cell>
        </row>
        <row r="661">
          <cell r="DF661">
            <v>0</v>
          </cell>
        </row>
        <row r="662">
          <cell r="DF662">
            <v>0</v>
          </cell>
        </row>
        <row r="663">
          <cell r="DF663">
            <v>0</v>
          </cell>
        </row>
        <row r="664">
          <cell r="DF664">
            <v>0</v>
          </cell>
        </row>
        <row r="665">
          <cell r="DF665">
            <v>0</v>
          </cell>
        </row>
        <row r="666">
          <cell r="DF666">
            <v>0</v>
          </cell>
        </row>
        <row r="667">
          <cell r="DF667">
            <v>0</v>
          </cell>
        </row>
        <row r="668">
          <cell r="DF668">
            <v>0</v>
          </cell>
        </row>
        <row r="669">
          <cell r="DF669">
            <v>0</v>
          </cell>
        </row>
        <row r="670">
          <cell r="DF670">
            <v>0</v>
          </cell>
        </row>
        <row r="671">
          <cell r="DF671">
            <v>0</v>
          </cell>
        </row>
        <row r="672">
          <cell r="DF672">
            <v>0</v>
          </cell>
        </row>
        <row r="673">
          <cell r="DF673">
            <v>0</v>
          </cell>
        </row>
        <row r="674">
          <cell r="DF674">
            <v>0</v>
          </cell>
        </row>
        <row r="675">
          <cell r="DF675">
            <v>0</v>
          </cell>
        </row>
        <row r="676">
          <cell r="DF676">
            <v>0</v>
          </cell>
        </row>
        <row r="677">
          <cell r="DF677">
            <v>0</v>
          </cell>
        </row>
        <row r="678">
          <cell r="DF678">
            <v>0</v>
          </cell>
        </row>
        <row r="679">
          <cell r="DF679">
            <v>0</v>
          </cell>
        </row>
        <row r="680">
          <cell r="DF680">
            <v>0</v>
          </cell>
        </row>
        <row r="681">
          <cell r="DF681">
            <v>0</v>
          </cell>
        </row>
        <row r="682">
          <cell r="DF682">
            <v>0</v>
          </cell>
        </row>
        <row r="684">
          <cell r="DF684">
            <v>0</v>
          </cell>
        </row>
        <row r="685">
          <cell r="DF685">
            <v>0</v>
          </cell>
        </row>
        <row r="686">
          <cell r="DF686">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94"/>
  <sheetViews>
    <sheetView tabSelected="1" topLeftCell="A46" workbookViewId="0">
      <selection activeCell="B38" sqref="B38"/>
    </sheetView>
  </sheetViews>
  <sheetFormatPr defaultColWidth="8" defaultRowHeight="15" x14ac:dyDescent="0.25"/>
  <cols>
    <col min="1" max="1" width="8" style="107"/>
    <col min="2" max="2" width="78.7109375" style="5" customWidth="1"/>
    <col min="3" max="3" width="0.28515625" style="5" customWidth="1"/>
    <col min="4" max="4" width="6.28515625" style="12" bestFit="1" customWidth="1"/>
    <col min="5" max="5" width="9" style="108" customWidth="1"/>
    <col min="6" max="6" width="8.5703125" style="5" customWidth="1"/>
    <col min="7" max="7" width="12.140625" style="5" bestFit="1" customWidth="1"/>
    <col min="8" max="8" width="10.5703125" style="5" customWidth="1"/>
    <col min="9" max="9" width="7.140625" style="5" customWidth="1"/>
    <col min="10" max="10" width="7.42578125" style="5" bestFit="1" customWidth="1"/>
    <col min="11" max="11" width="6.85546875" style="5" customWidth="1"/>
    <col min="12" max="13" width="6.140625" style="5" customWidth="1"/>
    <col min="14" max="14" width="5.85546875" style="5" customWidth="1"/>
    <col min="15" max="15" width="5.7109375" style="5" customWidth="1"/>
    <col min="16" max="16" width="6.7109375" style="5" customWidth="1"/>
    <col min="17" max="17" width="13.42578125" style="5" bestFit="1" customWidth="1"/>
    <col min="18" max="16384" width="8" style="5"/>
  </cols>
  <sheetData>
    <row r="1" spans="1:7" x14ac:dyDescent="0.25">
      <c r="A1" s="1"/>
      <c r="B1" s="2"/>
      <c r="C1" s="2"/>
      <c r="D1" s="3"/>
      <c r="E1" s="4"/>
      <c r="F1" s="2"/>
      <c r="G1" s="2"/>
    </row>
    <row r="2" spans="1:7" x14ac:dyDescent="0.25">
      <c r="A2" s="6" t="str">
        <f>[1]SUMMURY!A2</f>
        <v>PROJECT : SURYA APARTMENT</v>
      </c>
      <c r="B2" s="6"/>
      <c r="C2" s="6"/>
      <c r="D2" s="6"/>
      <c r="E2" s="7"/>
      <c r="F2" s="7"/>
      <c r="G2" s="7"/>
    </row>
    <row r="3" spans="1:7" x14ac:dyDescent="0.25">
      <c r="A3" s="8" t="str">
        <f>[1]SUMMURY!A3</f>
        <v xml:space="preserve">CLIENT : </v>
      </c>
      <c r="B3" s="8"/>
      <c r="C3" s="8"/>
      <c r="D3" s="8"/>
      <c r="E3" s="7"/>
      <c r="F3" s="7"/>
      <c r="G3" s="7"/>
    </row>
    <row r="4" spans="1:7" x14ac:dyDescent="0.25">
      <c r="A4" s="8" t="str">
        <f>[1]SUMMURY!A4</f>
        <v xml:space="preserve">MEPF CONSULTANT  : AASHIR ENGINEERING PVT. LTD. </v>
      </c>
      <c r="B4" s="8"/>
      <c r="C4" s="8"/>
      <c r="D4" s="8"/>
      <c r="E4" s="7"/>
      <c r="F4" s="7"/>
      <c r="G4" s="7"/>
    </row>
    <row r="5" spans="1:7" x14ac:dyDescent="0.25">
      <c r="A5" s="8" t="str">
        <f>[1]SUMMURY!A5</f>
        <v>DOCUMENTS  :PLUMBING BOQ</v>
      </c>
      <c r="B5" s="8"/>
      <c r="C5" s="8"/>
      <c r="D5" s="8"/>
      <c r="E5" s="7"/>
      <c r="F5" s="7"/>
      <c r="G5" s="7"/>
    </row>
    <row r="6" spans="1:7" x14ac:dyDescent="0.25">
      <c r="A6" s="6" t="str">
        <f>[1]SUMMURY!A6</f>
        <v>Date : 03.10.2025</v>
      </c>
      <c r="B6" s="6"/>
      <c r="C6" s="6"/>
      <c r="D6" s="6"/>
      <c r="E6" s="7"/>
      <c r="F6" s="7"/>
      <c r="G6" s="7"/>
    </row>
    <row r="7" spans="1:7" x14ac:dyDescent="0.25">
      <c r="A7" s="6" t="str">
        <f>[1]SUMMURY!A7</f>
        <v>REV. : R0</v>
      </c>
      <c r="B7" s="6"/>
      <c r="C7" s="7"/>
      <c r="D7" s="8"/>
      <c r="E7" s="7"/>
      <c r="F7" s="7"/>
      <c r="G7" s="7"/>
    </row>
    <row r="8" spans="1:7" ht="5.0999999999999996" customHeight="1" x14ac:dyDescent="0.25">
      <c r="A8" s="8"/>
      <c r="B8" s="8"/>
      <c r="C8" s="7"/>
      <c r="D8" s="8"/>
      <c r="E8" s="7"/>
      <c r="F8" s="7"/>
      <c r="G8" s="7"/>
    </row>
    <row r="9" spans="1:7" ht="5.0999999999999996" customHeight="1" x14ac:dyDescent="0.25">
      <c r="A9" s="8"/>
      <c r="B9" s="8"/>
      <c r="C9" s="7"/>
      <c r="D9" s="8"/>
      <c r="E9" s="7"/>
      <c r="F9" s="7"/>
      <c r="G9" s="7"/>
    </row>
    <row r="10" spans="1:7" ht="5.0999999999999996" customHeight="1" x14ac:dyDescent="0.25">
      <c r="A10" s="8"/>
      <c r="B10" s="8"/>
      <c r="C10" s="7"/>
      <c r="D10" s="8"/>
      <c r="E10" s="7"/>
      <c r="F10" s="7"/>
      <c r="G10" s="7"/>
    </row>
    <row r="11" spans="1:7" ht="5.0999999999999996" customHeight="1" x14ac:dyDescent="0.25">
      <c r="A11" s="8"/>
      <c r="B11" s="7"/>
      <c r="C11" s="7"/>
      <c r="D11" s="8"/>
      <c r="E11" s="7"/>
      <c r="F11" s="7"/>
      <c r="G11" s="7"/>
    </row>
    <row r="12" spans="1:7" s="12" customFormat="1" ht="20.25" customHeight="1" x14ac:dyDescent="0.25">
      <c r="A12" s="9" t="s">
        <v>0</v>
      </c>
      <c r="B12" s="9" t="s">
        <v>1</v>
      </c>
      <c r="C12" s="9"/>
      <c r="D12" s="9" t="s">
        <v>2</v>
      </c>
      <c r="E12" s="10" t="s">
        <v>3</v>
      </c>
      <c r="F12" s="11" t="s">
        <v>4</v>
      </c>
      <c r="G12" s="11" t="s">
        <v>5</v>
      </c>
    </row>
    <row r="13" spans="1:7" x14ac:dyDescent="0.25">
      <c r="A13" s="13"/>
      <c r="B13" s="14"/>
      <c r="C13" s="14"/>
      <c r="D13" s="15"/>
      <c r="E13" s="16"/>
      <c r="F13" s="17"/>
      <c r="G13" s="18"/>
    </row>
    <row r="14" spans="1:7" x14ac:dyDescent="0.25">
      <c r="A14" s="19" t="s">
        <v>6</v>
      </c>
      <c r="B14" s="20" t="s">
        <v>7</v>
      </c>
      <c r="C14" s="21"/>
      <c r="D14" s="22"/>
      <c r="E14" s="23"/>
      <c r="F14" s="24"/>
      <c r="G14" s="25"/>
    </row>
    <row r="15" spans="1:7" x14ac:dyDescent="0.25">
      <c r="A15" s="26"/>
      <c r="B15" s="27" t="s">
        <v>8</v>
      </c>
      <c r="C15" s="28"/>
      <c r="D15" s="29"/>
      <c r="E15" s="16"/>
      <c r="F15" s="17"/>
      <c r="G15" s="25"/>
    </row>
    <row r="16" spans="1:7" ht="315" customHeight="1" x14ac:dyDescent="0.25">
      <c r="A16" s="30"/>
      <c r="B16" s="31" t="s">
        <v>9</v>
      </c>
      <c r="C16" s="24"/>
      <c r="D16" s="29"/>
      <c r="E16" s="16"/>
      <c r="F16" s="17"/>
      <c r="G16" s="25"/>
    </row>
    <row r="17" spans="1:7" x14ac:dyDescent="0.25">
      <c r="A17" s="30"/>
      <c r="B17" s="32"/>
      <c r="C17" s="33"/>
      <c r="D17" s="29"/>
      <c r="E17" s="16"/>
      <c r="F17" s="17"/>
      <c r="G17" s="25"/>
    </row>
    <row r="18" spans="1:7" ht="66.75" customHeight="1" x14ac:dyDescent="0.25">
      <c r="A18" s="34">
        <f>IF(C18="","",COUNTA($C$14:C18))</f>
        <v>1</v>
      </c>
      <c r="B18" s="31" t="s">
        <v>10</v>
      </c>
      <c r="C18" s="34">
        <v>1</v>
      </c>
      <c r="D18" s="29" t="s">
        <v>11</v>
      </c>
      <c r="E18" s="16">
        <f>+'[1]MEASUREMENT BREAK-UP'!DF18</f>
        <v>653</v>
      </c>
      <c r="F18" s="17"/>
      <c r="G18" s="35">
        <f>IFERROR(E18*F18,0)</f>
        <v>0</v>
      </c>
    </row>
    <row r="19" spans="1:7" x14ac:dyDescent="0.25">
      <c r="A19" s="34" t="str">
        <f>IF(C19="","",COUNTA($C$14:C19))</f>
        <v/>
      </c>
      <c r="B19" s="32"/>
      <c r="C19" s="34"/>
      <c r="D19" s="29"/>
      <c r="E19" s="16">
        <f>+'[1]MEASUREMENT BREAK-UP'!DF19</f>
        <v>0</v>
      </c>
      <c r="F19" s="17"/>
      <c r="G19" s="35">
        <f t="shared" ref="G19:G34" si="0">IFERROR(E19*F19,0)</f>
        <v>0</v>
      </c>
    </row>
    <row r="20" spans="1:7" ht="63.75" x14ac:dyDescent="0.25">
      <c r="A20" s="34">
        <f>IF(C20="","",COUNTA($C$14:C20))</f>
        <v>2</v>
      </c>
      <c r="B20" s="31" t="s">
        <v>12</v>
      </c>
      <c r="C20" s="34">
        <v>1</v>
      </c>
      <c r="D20" s="29" t="s">
        <v>11</v>
      </c>
      <c r="E20" s="16">
        <f>+'[1]MEASUREMENT BREAK-UP'!DF20</f>
        <v>653</v>
      </c>
      <c r="F20" s="17"/>
      <c r="G20" s="35">
        <f t="shared" si="0"/>
        <v>0</v>
      </c>
    </row>
    <row r="21" spans="1:7" x14ac:dyDescent="0.25">
      <c r="A21" s="34"/>
      <c r="B21" s="32"/>
      <c r="C21" s="34"/>
      <c r="D21" s="29"/>
      <c r="E21" s="16">
        <f>+'[1]MEASUREMENT BREAK-UP'!DF21</f>
        <v>0</v>
      </c>
      <c r="F21" s="17"/>
      <c r="G21" s="35">
        <f t="shared" si="0"/>
        <v>0</v>
      </c>
    </row>
    <row r="22" spans="1:7" ht="38.25" x14ac:dyDescent="0.25">
      <c r="A22" s="34">
        <f>IF(C22="","",COUNTA($C$14:C22))</f>
        <v>3</v>
      </c>
      <c r="B22" s="31" t="s">
        <v>13</v>
      </c>
      <c r="C22" s="34">
        <v>1</v>
      </c>
      <c r="D22" s="29" t="s">
        <v>11</v>
      </c>
      <c r="E22" s="16">
        <f>+'[1]MEASUREMENT BREAK-UP'!DF22</f>
        <v>653</v>
      </c>
      <c r="F22" s="17"/>
      <c r="G22" s="35">
        <f t="shared" si="0"/>
        <v>0</v>
      </c>
    </row>
    <row r="23" spans="1:7" x14ac:dyDescent="0.25">
      <c r="A23" s="34" t="str">
        <f>IF(C23="","",COUNTA($C$14:C23))</f>
        <v/>
      </c>
      <c r="B23" s="31"/>
      <c r="C23" s="34"/>
      <c r="D23" s="29"/>
      <c r="E23" s="16">
        <f>+'[1]MEASUREMENT BREAK-UP'!DF23</f>
        <v>0</v>
      </c>
      <c r="F23" s="17"/>
      <c r="G23" s="35">
        <f t="shared" si="0"/>
        <v>0</v>
      </c>
    </row>
    <row r="24" spans="1:7" ht="25.5" x14ac:dyDescent="0.25">
      <c r="A24" s="34">
        <f>IF(C24="","",COUNTA($C$14:C24))</f>
        <v>4</v>
      </c>
      <c r="B24" s="31" t="s">
        <v>14</v>
      </c>
      <c r="C24" s="34">
        <v>1</v>
      </c>
      <c r="D24" s="29" t="s">
        <v>11</v>
      </c>
      <c r="E24" s="16">
        <f>+'[1]MEASUREMENT BREAK-UP'!DF24</f>
        <v>653</v>
      </c>
      <c r="F24" s="17"/>
      <c r="G24" s="35">
        <f t="shared" si="0"/>
        <v>0</v>
      </c>
    </row>
    <row r="25" spans="1:7" x14ac:dyDescent="0.25">
      <c r="A25" s="34" t="str">
        <f>IF(C25="","",COUNTA($C$14:C25))</f>
        <v/>
      </c>
      <c r="B25" s="31"/>
      <c r="C25" s="34"/>
      <c r="D25" s="29"/>
      <c r="E25" s="16">
        <f>+'[1]MEASUREMENT BREAK-UP'!DF25</f>
        <v>0</v>
      </c>
      <c r="F25" s="17"/>
      <c r="G25" s="35">
        <f t="shared" si="0"/>
        <v>0</v>
      </c>
    </row>
    <row r="26" spans="1:7" x14ac:dyDescent="0.25">
      <c r="A26" s="34">
        <f>IF(C26="","",COUNTA($C$14:C26))</f>
        <v>5</v>
      </c>
      <c r="B26" s="31" t="s">
        <v>15</v>
      </c>
      <c r="C26" s="34">
        <v>1</v>
      </c>
      <c r="D26" s="29" t="s">
        <v>11</v>
      </c>
      <c r="E26" s="16">
        <f>+'[1]MEASUREMENT BREAK-UP'!DF26</f>
        <v>653</v>
      </c>
      <c r="F26" s="17"/>
      <c r="G26" s="35">
        <f t="shared" si="0"/>
        <v>0</v>
      </c>
    </row>
    <row r="27" spans="1:7" x14ac:dyDescent="0.25">
      <c r="A27" s="34" t="str">
        <f>IF(C27="","",COUNTA($C$14:C27))</f>
        <v/>
      </c>
      <c r="B27" s="31"/>
      <c r="C27" s="34"/>
      <c r="D27" s="29"/>
      <c r="E27" s="16">
        <f>+'[1]MEASUREMENT BREAK-UP'!DF27</f>
        <v>0</v>
      </c>
      <c r="F27" s="17"/>
      <c r="G27" s="35">
        <f t="shared" si="0"/>
        <v>0</v>
      </c>
    </row>
    <row r="28" spans="1:7" ht="38.25" x14ac:dyDescent="0.25">
      <c r="A28" s="34">
        <f>IF(C28="","",COUNTA($C$14:C28))</f>
        <v>6</v>
      </c>
      <c r="B28" s="31" t="s">
        <v>16</v>
      </c>
      <c r="C28" s="34">
        <v>1</v>
      </c>
      <c r="D28" s="29" t="s">
        <v>11</v>
      </c>
      <c r="E28" s="16" t="s">
        <v>17</v>
      </c>
      <c r="F28" s="17"/>
      <c r="G28" s="35">
        <f t="shared" si="0"/>
        <v>0</v>
      </c>
    </row>
    <row r="29" spans="1:7" x14ac:dyDescent="0.25">
      <c r="A29" s="34" t="str">
        <f>IF(C29="","",COUNTA($C$14:C29))</f>
        <v/>
      </c>
      <c r="B29" s="31"/>
      <c r="C29" s="34"/>
      <c r="D29" s="29"/>
      <c r="E29" s="16">
        <f>+'[1]MEASUREMENT BREAK-UP'!DF29</f>
        <v>0</v>
      </c>
      <c r="F29" s="17"/>
      <c r="G29" s="35">
        <f t="shared" si="0"/>
        <v>0</v>
      </c>
    </row>
    <row r="30" spans="1:7" ht="51" x14ac:dyDescent="0.25">
      <c r="A30" s="34">
        <f>IF(C30="","",COUNTA($C$14:C30))</f>
        <v>7</v>
      </c>
      <c r="B30" s="31" t="s">
        <v>18</v>
      </c>
      <c r="C30" s="34">
        <v>1</v>
      </c>
      <c r="D30" s="29" t="s">
        <v>11</v>
      </c>
      <c r="E30" s="16">
        <f>+'[1]MEASUREMENT BREAK-UP'!DF30</f>
        <v>0</v>
      </c>
      <c r="F30" s="17"/>
      <c r="G30" s="35">
        <f t="shared" si="0"/>
        <v>0</v>
      </c>
    </row>
    <row r="31" spans="1:7" x14ac:dyDescent="0.25">
      <c r="A31" s="34" t="str">
        <f>IF(C31="","",COUNTA($C$14:C31))</f>
        <v/>
      </c>
      <c r="B31" s="32"/>
      <c r="C31" s="34"/>
      <c r="D31" s="29"/>
      <c r="E31" s="16">
        <f>+'[1]MEASUREMENT BREAK-UP'!DF31</f>
        <v>0</v>
      </c>
      <c r="F31" s="17"/>
      <c r="G31" s="35">
        <f t="shared" si="0"/>
        <v>0</v>
      </c>
    </row>
    <row r="32" spans="1:7" ht="105.75" customHeight="1" x14ac:dyDescent="0.25">
      <c r="A32" s="34">
        <f>IF(C32="","",COUNTA($C$14:C32))</f>
        <v>8</v>
      </c>
      <c r="B32" s="31" t="s">
        <v>19</v>
      </c>
      <c r="C32" s="34">
        <v>1</v>
      </c>
      <c r="D32" s="29" t="s">
        <v>11</v>
      </c>
      <c r="E32" s="16">
        <f>+'[1]MEASUREMENT BREAK-UP'!DF32</f>
        <v>753</v>
      </c>
      <c r="F32" s="17"/>
      <c r="G32" s="35">
        <f t="shared" si="0"/>
        <v>0</v>
      </c>
    </row>
    <row r="33" spans="1:9" x14ac:dyDescent="0.25">
      <c r="A33" s="34" t="str">
        <f>IF(C33="","",COUNTA($C$14:C33))</f>
        <v/>
      </c>
      <c r="B33" s="31"/>
      <c r="C33" s="34"/>
      <c r="D33" s="29"/>
      <c r="E33" s="16">
        <f>+'[1]MEASUREMENT BREAK-UP'!DF33</f>
        <v>0</v>
      </c>
      <c r="F33" s="17"/>
      <c r="G33" s="35">
        <f t="shared" si="0"/>
        <v>0</v>
      </c>
    </row>
    <row r="34" spans="1:9" ht="67.5" customHeight="1" x14ac:dyDescent="0.25">
      <c r="A34" s="34">
        <f>IF(C34="","",COUNTA($C$14:C34))</f>
        <v>9</v>
      </c>
      <c r="B34" s="31" t="s">
        <v>20</v>
      </c>
      <c r="C34" s="34">
        <v>1</v>
      </c>
      <c r="D34" s="29" t="s">
        <v>11</v>
      </c>
      <c r="E34" s="16">
        <f>+'[1]MEASUREMENT BREAK-UP'!DF34</f>
        <v>753</v>
      </c>
      <c r="F34" s="17"/>
      <c r="G34" s="35">
        <f t="shared" si="0"/>
        <v>0</v>
      </c>
      <c r="I34" s="12"/>
    </row>
    <row r="35" spans="1:9" ht="15" customHeight="1" x14ac:dyDescent="0.25">
      <c r="A35" s="36" t="str">
        <f>IF(C35="","",COUNTA($C$14:C35))</f>
        <v/>
      </c>
      <c r="B35" s="31"/>
      <c r="C35" s="34"/>
      <c r="D35" s="29"/>
      <c r="E35" s="16">
        <f>+'[1]MEASUREMENT BREAK-UP'!DF35</f>
        <v>0</v>
      </c>
      <c r="F35" s="17"/>
      <c r="G35" s="35"/>
      <c r="I35" s="12"/>
    </row>
    <row r="36" spans="1:9" ht="27" customHeight="1" x14ac:dyDescent="0.25">
      <c r="A36" s="34">
        <f>IF(C36="","",COUNTA($C$14:C36))</f>
        <v>10</v>
      </c>
      <c r="B36" s="31" t="s">
        <v>21</v>
      </c>
      <c r="C36" s="34">
        <v>1</v>
      </c>
      <c r="D36" s="29" t="s">
        <v>11</v>
      </c>
      <c r="E36" s="16">
        <f>+'[1]MEASUREMENT BREAK-UP'!DF36</f>
        <v>1255</v>
      </c>
      <c r="F36" s="17"/>
      <c r="G36" s="35">
        <f>IFERROR(E36*F36,0)</f>
        <v>0</v>
      </c>
      <c r="I36" s="12"/>
    </row>
    <row r="37" spans="1:9" x14ac:dyDescent="0.25">
      <c r="A37" s="34" t="str">
        <f>IF(C37="","",COUNTA($C$14:C37))</f>
        <v/>
      </c>
      <c r="B37" s="31"/>
      <c r="C37" s="34"/>
      <c r="D37" s="29"/>
      <c r="E37" s="16">
        <f>+'[1]MEASUREMENT BREAK-UP'!DF37</f>
        <v>0</v>
      </c>
      <c r="F37" s="17"/>
      <c r="G37" s="35">
        <f t="shared" ref="G37:G86" si="1">IFERROR(E37*F37,0)</f>
        <v>0</v>
      </c>
    </row>
    <row r="38" spans="1:9" ht="96.75" customHeight="1" x14ac:dyDescent="0.25">
      <c r="A38" s="34">
        <f>IF(C38="","",COUNTA($C$14:C38))</f>
        <v>11</v>
      </c>
      <c r="B38" s="31" t="s">
        <v>22</v>
      </c>
      <c r="C38" s="34">
        <v>1</v>
      </c>
      <c r="D38" s="37" t="s">
        <v>23</v>
      </c>
      <c r="E38" s="16">
        <f>+'[1]MEASUREMENT BREAK-UP'!DF38</f>
        <v>0</v>
      </c>
      <c r="F38" s="17"/>
      <c r="G38" s="35">
        <f t="shared" si="1"/>
        <v>0</v>
      </c>
    </row>
    <row r="39" spans="1:9" x14ac:dyDescent="0.25">
      <c r="A39" s="36" t="s">
        <v>24</v>
      </c>
      <c r="B39" s="31" t="s">
        <v>25</v>
      </c>
      <c r="C39" s="34"/>
      <c r="D39" s="29" t="s">
        <v>11</v>
      </c>
      <c r="E39" s="16" t="s">
        <v>17</v>
      </c>
      <c r="F39" s="17"/>
      <c r="G39" s="35">
        <f t="shared" si="1"/>
        <v>0</v>
      </c>
    </row>
    <row r="40" spans="1:9" x14ac:dyDescent="0.25">
      <c r="A40" s="36" t="s">
        <v>26</v>
      </c>
      <c r="B40" s="31" t="s">
        <v>27</v>
      </c>
      <c r="C40" s="34"/>
      <c r="D40" s="29" t="s">
        <v>11</v>
      </c>
      <c r="E40" s="16">
        <f>+'[1]MEASUREMENT BREAK-UP'!DF40</f>
        <v>251</v>
      </c>
      <c r="F40" s="17"/>
      <c r="G40" s="35">
        <f t="shared" si="1"/>
        <v>0</v>
      </c>
    </row>
    <row r="41" spans="1:9" x14ac:dyDescent="0.25">
      <c r="A41" s="36" t="s">
        <v>28</v>
      </c>
      <c r="B41" s="31" t="s">
        <v>29</v>
      </c>
      <c r="C41" s="34"/>
      <c r="D41" s="29" t="s">
        <v>11</v>
      </c>
      <c r="E41" s="16" t="s">
        <v>17</v>
      </c>
      <c r="F41" s="17"/>
      <c r="G41" s="35">
        <f t="shared" si="1"/>
        <v>0</v>
      </c>
    </row>
    <row r="42" spans="1:9" x14ac:dyDescent="0.25">
      <c r="A42" s="36" t="str">
        <f>IF(C42="","",COUNTA($C$14:C42))</f>
        <v/>
      </c>
      <c r="B42" s="31"/>
      <c r="C42" s="34"/>
      <c r="D42" s="29"/>
      <c r="E42" s="16">
        <f>+'[1]MEASUREMENT BREAK-UP'!DF42</f>
        <v>0</v>
      </c>
      <c r="F42" s="17"/>
      <c r="G42" s="35">
        <f t="shared" si="1"/>
        <v>0</v>
      </c>
    </row>
    <row r="43" spans="1:9" ht="63.75" x14ac:dyDescent="0.25">
      <c r="A43" s="34">
        <f>IF(C43="","",COUNTA($C$14:C43))</f>
        <v>12</v>
      </c>
      <c r="B43" s="31" t="s">
        <v>30</v>
      </c>
      <c r="C43" s="34">
        <v>1</v>
      </c>
      <c r="D43" s="29" t="s">
        <v>11</v>
      </c>
      <c r="E43" s="16">
        <f>+'[1]MEASUREMENT BREAK-UP'!DF43</f>
        <v>251</v>
      </c>
      <c r="F43" s="17"/>
      <c r="G43" s="35">
        <f t="shared" si="1"/>
        <v>0</v>
      </c>
    </row>
    <row r="44" spans="1:9" x14ac:dyDescent="0.25">
      <c r="A44" s="34" t="str">
        <f>IF(C44="","",COUNTA($C$14:C44))</f>
        <v/>
      </c>
      <c r="B44" s="31"/>
      <c r="C44" s="34"/>
      <c r="D44" s="29"/>
      <c r="E44" s="16">
        <f>+'[1]MEASUREMENT BREAK-UP'!DF44</f>
        <v>0</v>
      </c>
      <c r="F44" s="17"/>
      <c r="G44" s="35">
        <f t="shared" si="1"/>
        <v>0</v>
      </c>
    </row>
    <row r="45" spans="1:9" ht="25.5" x14ac:dyDescent="0.25">
      <c r="A45" s="34">
        <f>IF(C45="","",COUNTA($C$14:C45))</f>
        <v>13</v>
      </c>
      <c r="B45" s="31" t="s">
        <v>31</v>
      </c>
      <c r="C45" s="34">
        <v>1</v>
      </c>
      <c r="D45" s="29" t="s">
        <v>11</v>
      </c>
      <c r="E45" s="16">
        <f>+'[1]MEASUREMENT BREAK-UP'!DF45</f>
        <v>251</v>
      </c>
      <c r="F45" s="17"/>
      <c r="G45" s="35">
        <f t="shared" si="1"/>
        <v>0</v>
      </c>
    </row>
    <row r="46" spans="1:9" x14ac:dyDescent="0.25">
      <c r="A46" s="34" t="str">
        <f>IF(C46="","",COUNTA($C$14:C46))</f>
        <v/>
      </c>
      <c r="B46" s="31"/>
      <c r="C46" s="34"/>
      <c r="D46" s="29"/>
      <c r="E46" s="16">
        <f>+'[1]MEASUREMENT BREAK-UP'!DF46</f>
        <v>0</v>
      </c>
      <c r="F46" s="17"/>
      <c r="G46" s="35">
        <f t="shared" si="1"/>
        <v>0</v>
      </c>
    </row>
    <row r="47" spans="1:9" ht="25.5" x14ac:dyDescent="0.25">
      <c r="A47" s="34">
        <f>IF(C47="","",COUNTA($C$14:C47))</f>
        <v>14</v>
      </c>
      <c r="B47" s="31" t="s">
        <v>32</v>
      </c>
      <c r="C47" s="34">
        <v>1</v>
      </c>
      <c r="D47" s="29" t="s">
        <v>11</v>
      </c>
      <c r="E47" s="16" t="s">
        <v>17</v>
      </c>
      <c r="F47" s="17"/>
      <c r="G47" s="35">
        <f t="shared" si="1"/>
        <v>0</v>
      </c>
    </row>
    <row r="48" spans="1:9" x14ac:dyDescent="0.25">
      <c r="A48" s="34" t="str">
        <f>IF(C48="","",COUNTA($C$14:C48))</f>
        <v/>
      </c>
      <c r="B48" s="31"/>
      <c r="C48" s="34"/>
      <c r="D48" s="29"/>
      <c r="E48" s="16">
        <f>+'[1]MEASUREMENT BREAK-UP'!DF48</f>
        <v>0</v>
      </c>
      <c r="F48" s="17"/>
      <c r="G48" s="35">
        <f t="shared" si="1"/>
        <v>0</v>
      </c>
    </row>
    <row r="49" spans="1:7" ht="25.5" x14ac:dyDescent="0.25">
      <c r="A49" s="34">
        <f>IF(C49="","",COUNTA($C$14:C49))</f>
        <v>15</v>
      </c>
      <c r="B49" s="31" t="s">
        <v>33</v>
      </c>
      <c r="C49" s="34">
        <v>1</v>
      </c>
      <c r="D49" s="29" t="s">
        <v>11</v>
      </c>
      <c r="E49" s="16" t="s">
        <v>17</v>
      </c>
      <c r="F49" s="17"/>
      <c r="G49" s="35">
        <f t="shared" si="1"/>
        <v>0</v>
      </c>
    </row>
    <row r="50" spans="1:7" x14ac:dyDescent="0.25">
      <c r="A50" s="34" t="str">
        <f>IF(C50="","",COUNTA($C$14:C50))</f>
        <v/>
      </c>
      <c r="B50" s="31"/>
      <c r="C50" s="34"/>
      <c r="D50" s="29"/>
      <c r="E50" s="16">
        <f>+'[1]MEASUREMENT BREAK-UP'!DF50</f>
        <v>0</v>
      </c>
      <c r="F50" s="17"/>
      <c r="G50" s="35">
        <f t="shared" si="1"/>
        <v>0</v>
      </c>
    </row>
    <row r="51" spans="1:7" ht="25.5" x14ac:dyDescent="0.25">
      <c r="A51" s="34">
        <f>IF(C51="","",COUNTA($C$14:C51))</f>
        <v>16</v>
      </c>
      <c r="B51" s="31" t="s">
        <v>34</v>
      </c>
      <c r="C51" s="34">
        <v>1</v>
      </c>
      <c r="D51" s="29" t="s">
        <v>11</v>
      </c>
      <c r="E51" s="16" t="s">
        <v>17</v>
      </c>
      <c r="F51" s="17"/>
      <c r="G51" s="35">
        <f t="shared" si="1"/>
        <v>0</v>
      </c>
    </row>
    <row r="52" spans="1:7" x14ac:dyDescent="0.25">
      <c r="A52" s="36" t="str">
        <f>IF(C52="","",COUNTA($C$14:C52))</f>
        <v/>
      </c>
      <c r="B52" s="31"/>
      <c r="C52" s="34"/>
      <c r="D52" s="29"/>
      <c r="E52" s="16">
        <f>+'[1]MEASUREMENT BREAK-UP'!DF52</f>
        <v>0</v>
      </c>
      <c r="F52" s="17"/>
      <c r="G52" s="35">
        <f t="shared" si="1"/>
        <v>0</v>
      </c>
    </row>
    <row r="53" spans="1:7" ht="148.5" customHeight="1" x14ac:dyDescent="0.25">
      <c r="A53" s="34">
        <f>IF(C53="","",COUNTA($C$14:C53))</f>
        <v>17</v>
      </c>
      <c r="B53" s="31" t="s">
        <v>35</v>
      </c>
      <c r="C53" s="34">
        <v>1</v>
      </c>
      <c r="D53" s="29" t="s">
        <v>11</v>
      </c>
      <c r="E53" s="16">
        <f>+'[1]MEASUREMENT BREAK-UP'!DF53</f>
        <v>0</v>
      </c>
      <c r="F53" s="17"/>
      <c r="G53" s="35">
        <f t="shared" si="1"/>
        <v>0</v>
      </c>
    </row>
    <row r="54" spans="1:7" x14ac:dyDescent="0.25">
      <c r="A54" s="34" t="str">
        <f>IF(C54="","",COUNTA($C$14:C54))</f>
        <v/>
      </c>
      <c r="B54" s="31"/>
      <c r="C54" s="34"/>
      <c r="D54" s="29"/>
      <c r="E54" s="16">
        <f>+'[1]MEASUREMENT BREAK-UP'!DF54</f>
        <v>0</v>
      </c>
      <c r="F54" s="17"/>
      <c r="G54" s="35">
        <f t="shared" si="1"/>
        <v>0</v>
      </c>
    </row>
    <row r="55" spans="1:7" s="12" customFormat="1" ht="38.25" x14ac:dyDescent="0.25">
      <c r="A55" s="34">
        <f>IF(C55="","",COUNTA($C$14:C55))</f>
        <v>18</v>
      </c>
      <c r="B55" s="31" t="s">
        <v>36</v>
      </c>
      <c r="C55" s="34">
        <v>1</v>
      </c>
      <c r="D55" s="29" t="s">
        <v>11</v>
      </c>
      <c r="E55" s="16">
        <f>+'[1]MEASUREMENT BREAK-UP'!DF55</f>
        <v>0</v>
      </c>
      <c r="F55" s="17"/>
      <c r="G55" s="35">
        <f t="shared" si="1"/>
        <v>0</v>
      </c>
    </row>
    <row r="56" spans="1:7" x14ac:dyDescent="0.25">
      <c r="A56" s="34" t="str">
        <f>IF(C56="","",COUNTA($C$14:C56))</f>
        <v/>
      </c>
      <c r="B56" s="31"/>
      <c r="C56" s="34"/>
      <c r="D56" s="29"/>
      <c r="E56" s="16">
        <f>+'[1]MEASUREMENT BREAK-UP'!DF56</f>
        <v>0</v>
      </c>
      <c r="F56" s="17"/>
      <c r="G56" s="35">
        <f t="shared" si="1"/>
        <v>0</v>
      </c>
    </row>
    <row r="57" spans="1:7" ht="38.25" x14ac:dyDescent="0.25">
      <c r="A57" s="34">
        <f>IF(C57="","",COUNTA($C$14:C57))</f>
        <v>19</v>
      </c>
      <c r="B57" s="31" t="s">
        <v>37</v>
      </c>
      <c r="C57" s="34">
        <v>1</v>
      </c>
      <c r="D57" s="29" t="s">
        <v>11</v>
      </c>
      <c r="E57" s="16" t="s">
        <v>17</v>
      </c>
      <c r="F57" s="17"/>
      <c r="G57" s="35">
        <f t="shared" si="1"/>
        <v>0</v>
      </c>
    </row>
    <row r="58" spans="1:7" x14ac:dyDescent="0.25">
      <c r="A58" s="34" t="str">
        <f>IF(C58="","",COUNTA($C$14:C58))</f>
        <v/>
      </c>
      <c r="B58" s="31"/>
      <c r="C58" s="34"/>
      <c r="D58" s="29"/>
      <c r="E58" s="16">
        <f>+'[1]MEASUREMENT BREAK-UP'!DF58</f>
        <v>0</v>
      </c>
      <c r="F58" s="17"/>
      <c r="G58" s="35">
        <f t="shared" si="1"/>
        <v>0</v>
      </c>
    </row>
    <row r="59" spans="1:7" ht="38.25" x14ac:dyDescent="0.25">
      <c r="A59" s="34">
        <f>IF(C59="","",COUNTA($C$14:C59))</f>
        <v>20</v>
      </c>
      <c r="B59" s="31" t="s">
        <v>38</v>
      </c>
      <c r="C59" s="34">
        <v>1</v>
      </c>
      <c r="D59" s="29" t="s">
        <v>11</v>
      </c>
      <c r="E59" s="16">
        <f>+'[1]MEASUREMENT BREAK-UP'!DF59</f>
        <v>602</v>
      </c>
      <c r="F59" s="17"/>
      <c r="G59" s="35">
        <f t="shared" si="1"/>
        <v>0</v>
      </c>
    </row>
    <row r="60" spans="1:7" x14ac:dyDescent="0.25">
      <c r="A60" s="34" t="str">
        <f>IF(C60="","",COUNTA($C$14:C60))</f>
        <v/>
      </c>
      <c r="B60" s="31"/>
      <c r="C60" s="34"/>
      <c r="D60" s="29"/>
      <c r="E60" s="16">
        <f>+'[1]MEASUREMENT BREAK-UP'!DF60</f>
        <v>0</v>
      </c>
      <c r="F60" s="17"/>
      <c r="G60" s="35">
        <f t="shared" si="1"/>
        <v>0</v>
      </c>
    </row>
    <row r="61" spans="1:7" x14ac:dyDescent="0.25">
      <c r="A61" s="34">
        <f>IF(C61="","",COUNTA($C$14:C61))</f>
        <v>21</v>
      </c>
      <c r="B61" s="31" t="s">
        <v>39</v>
      </c>
      <c r="C61" s="34">
        <v>1</v>
      </c>
      <c r="D61" s="29" t="s">
        <v>11</v>
      </c>
      <c r="E61" s="16">
        <f>+'[1]MEASUREMENT BREAK-UP'!DF61</f>
        <v>602</v>
      </c>
      <c r="F61" s="17"/>
      <c r="G61" s="35">
        <f t="shared" si="1"/>
        <v>0</v>
      </c>
    </row>
    <row r="62" spans="1:7" x14ac:dyDescent="0.25">
      <c r="A62" s="34" t="str">
        <f>IF(C62="","",COUNTA($C$14:C62))</f>
        <v/>
      </c>
      <c r="B62" s="31"/>
      <c r="C62" s="34"/>
      <c r="D62" s="29"/>
      <c r="E62" s="16">
        <f>+'[1]MEASUREMENT BREAK-UP'!DF62</f>
        <v>0</v>
      </c>
      <c r="F62" s="17"/>
      <c r="G62" s="35">
        <f t="shared" si="1"/>
        <v>0</v>
      </c>
    </row>
    <row r="63" spans="1:7" x14ac:dyDescent="0.25">
      <c r="A63" s="34">
        <f>IF(C63="","",COUNTA($C$14:C63))</f>
        <v>22</v>
      </c>
      <c r="B63" s="31" t="s">
        <v>40</v>
      </c>
      <c r="C63" s="34">
        <v>1</v>
      </c>
      <c r="D63" s="29" t="s">
        <v>11</v>
      </c>
      <c r="E63" s="16">
        <f>+'[1]MEASUREMENT BREAK-UP'!DF63</f>
        <v>602</v>
      </c>
      <c r="F63" s="17"/>
      <c r="G63" s="35">
        <f t="shared" si="1"/>
        <v>0</v>
      </c>
    </row>
    <row r="64" spans="1:7" x14ac:dyDescent="0.25">
      <c r="A64" s="34" t="str">
        <f>IF(C64="","",COUNTA($C$14:C64))</f>
        <v/>
      </c>
      <c r="B64" s="31"/>
      <c r="C64" s="34"/>
      <c r="D64" s="29"/>
      <c r="E64" s="16">
        <f>+'[1]MEASUREMENT BREAK-UP'!DF64</f>
        <v>0</v>
      </c>
      <c r="F64" s="17"/>
      <c r="G64" s="35">
        <f t="shared" si="1"/>
        <v>0</v>
      </c>
    </row>
    <row r="65" spans="1:7" ht="18" customHeight="1" x14ac:dyDescent="0.25">
      <c r="A65" s="34">
        <f>IF(C65="","",COUNTA($C$14:C65))</f>
        <v>23</v>
      </c>
      <c r="B65" s="31" t="s">
        <v>41</v>
      </c>
      <c r="C65" s="34">
        <v>1</v>
      </c>
      <c r="D65" s="29" t="s">
        <v>11</v>
      </c>
      <c r="E65" s="16">
        <f>+'[1]MEASUREMENT BREAK-UP'!DF65</f>
        <v>602</v>
      </c>
      <c r="F65" s="17"/>
      <c r="G65" s="35">
        <f t="shared" si="1"/>
        <v>0</v>
      </c>
    </row>
    <row r="66" spans="1:7" x14ac:dyDescent="0.25">
      <c r="A66" s="34" t="str">
        <f>IF(C66="","",COUNTA($C$14:C66))</f>
        <v/>
      </c>
      <c r="B66" s="31"/>
      <c r="C66" s="34"/>
      <c r="D66" s="29"/>
      <c r="E66" s="16">
        <f>+'[1]MEASUREMENT BREAK-UP'!DF66</f>
        <v>0</v>
      </c>
      <c r="F66" s="17"/>
      <c r="G66" s="35">
        <f t="shared" si="1"/>
        <v>0</v>
      </c>
    </row>
    <row r="67" spans="1:7" ht="96.75" customHeight="1" x14ac:dyDescent="0.25">
      <c r="A67" s="34">
        <f>IF(C67="","",COUNTA($C$14:C67))</f>
        <v>24</v>
      </c>
      <c r="B67" s="31" t="s">
        <v>42</v>
      </c>
      <c r="C67" s="34">
        <v>1</v>
      </c>
      <c r="D67" s="29" t="s">
        <v>11</v>
      </c>
      <c r="E67" s="16" t="s">
        <v>17</v>
      </c>
      <c r="F67" s="17"/>
      <c r="G67" s="35">
        <f t="shared" si="1"/>
        <v>0</v>
      </c>
    </row>
    <row r="68" spans="1:7" x14ac:dyDescent="0.25">
      <c r="A68" s="34" t="str">
        <f>IF(C68="","",COUNTA($C$14:C68))</f>
        <v/>
      </c>
      <c r="B68" s="31"/>
      <c r="C68" s="34"/>
      <c r="D68" s="29"/>
      <c r="E68" s="16">
        <f>+'[1]MEASUREMENT BREAK-UP'!DF68</f>
        <v>0</v>
      </c>
      <c r="F68" s="17"/>
      <c r="G68" s="35">
        <f t="shared" si="1"/>
        <v>0</v>
      </c>
    </row>
    <row r="69" spans="1:7" ht="63.75" x14ac:dyDescent="0.25">
      <c r="A69" s="34">
        <f>IF(C69="","",COUNTA($C$14:C69))</f>
        <v>25</v>
      </c>
      <c r="B69" s="31" t="s">
        <v>43</v>
      </c>
      <c r="C69" s="34">
        <v>1</v>
      </c>
      <c r="D69" s="29" t="s">
        <v>11</v>
      </c>
      <c r="E69" s="16" t="s">
        <v>17</v>
      </c>
      <c r="F69" s="17"/>
      <c r="G69" s="35">
        <f t="shared" si="1"/>
        <v>0</v>
      </c>
    </row>
    <row r="70" spans="1:7" x14ac:dyDescent="0.25">
      <c r="A70" s="36" t="str">
        <f>IF(C70="","",COUNTA($C$14:C70))</f>
        <v/>
      </c>
      <c r="B70" s="31"/>
      <c r="C70" s="34"/>
      <c r="D70" s="29"/>
      <c r="E70" s="16">
        <f>+'[1]MEASUREMENT BREAK-UP'!DF70</f>
        <v>0</v>
      </c>
      <c r="F70" s="17"/>
      <c r="G70" s="35">
        <f t="shared" si="1"/>
        <v>0</v>
      </c>
    </row>
    <row r="71" spans="1:7" ht="30" customHeight="1" x14ac:dyDescent="0.25">
      <c r="A71" s="34">
        <f>IF(C71="","",COUNTA($C$14:C71))</f>
        <v>26</v>
      </c>
      <c r="B71" s="31" t="s">
        <v>44</v>
      </c>
      <c r="C71" s="34">
        <v>1</v>
      </c>
      <c r="D71" s="29" t="s">
        <v>11</v>
      </c>
      <c r="E71" s="16" t="s">
        <v>17</v>
      </c>
      <c r="F71" s="17"/>
      <c r="G71" s="35">
        <f t="shared" si="1"/>
        <v>0</v>
      </c>
    </row>
    <row r="72" spans="1:7" x14ac:dyDescent="0.25">
      <c r="A72" s="34" t="str">
        <f>IF(C72="","",COUNTA($C$14:C72))</f>
        <v/>
      </c>
      <c r="B72" s="31"/>
      <c r="C72" s="34"/>
      <c r="D72" s="29"/>
      <c r="E72" s="16">
        <f>+'[1]MEASUREMENT BREAK-UP'!DF72</f>
        <v>0</v>
      </c>
      <c r="F72" s="17"/>
      <c r="G72" s="35">
        <f t="shared" si="1"/>
        <v>0</v>
      </c>
    </row>
    <row r="73" spans="1:7" ht="83.25" customHeight="1" x14ac:dyDescent="0.25">
      <c r="A73" s="34">
        <f>IF(C73="","",COUNTA($C$14:C73))</f>
        <v>27</v>
      </c>
      <c r="B73" s="31" t="s">
        <v>45</v>
      </c>
      <c r="C73" s="34">
        <v>1</v>
      </c>
      <c r="D73" s="29"/>
      <c r="E73" s="16">
        <f>+'[1]MEASUREMENT BREAK-UP'!DF73</f>
        <v>0</v>
      </c>
      <c r="F73" s="17"/>
      <c r="G73" s="35">
        <f t="shared" si="1"/>
        <v>0</v>
      </c>
    </row>
    <row r="74" spans="1:7" x14ac:dyDescent="0.25">
      <c r="A74" s="36" t="s">
        <v>24</v>
      </c>
      <c r="B74" s="31" t="s">
        <v>46</v>
      </c>
      <c r="C74" s="34"/>
      <c r="D74" s="29" t="s">
        <v>11</v>
      </c>
      <c r="E74" s="16" t="s">
        <v>17</v>
      </c>
      <c r="F74" s="17"/>
      <c r="G74" s="35">
        <f t="shared" si="1"/>
        <v>0</v>
      </c>
    </row>
    <row r="75" spans="1:7" x14ac:dyDescent="0.25">
      <c r="A75" s="36" t="s">
        <v>26</v>
      </c>
      <c r="B75" s="31" t="s">
        <v>47</v>
      </c>
      <c r="C75" s="34"/>
      <c r="D75" s="29" t="s">
        <v>11</v>
      </c>
      <c r="E75" s="16">
        <f>+'[1]MEASUREMENT BREAK-UP'!DF75</f>
        <v>602</v>
      </c>
      <c r="F75" s="17"/>
      <c r="G75" s="35">
        <f t="shared" si="1"/>
        <v>0</v>
      </c>
    </row>
    <row r="76" spans="1:7" x14ac:dyDescent="0.25">
      <c r="A76" s="36" t="s">
        <v>28</v>
      </c>
      <c r="B76" s="31" t="s">
        <v>48</v>
      </c>
      <c r="C76" s="34"/>
      <c r="D76" s="29" t="s">
        <v>11</v>
      </c>
      <c r="E76" s="16">
        <f>+'[1]MEASUREMENT BREAK-UP'!DF76</f>
        <v>0</v>
      </c>
      <c r="F76" s="17"/>
      <c r="G76" s="35">
        <f t="shared" si="1"/>
        <v>0</v>
      </c>
    </row>
    <row r="77" spans="1:7" x14ac:dyDescent="0.25">
      <c r="A77" s="34" t="s">
        <v>49</v>
      </c>
      <c r="B77" s="31" t="s">
        <v>50</v>
      </c>
      <c r="C77" s="34"/>
      <c r="D77" s="29" t="s">
        <v>11</v>
      </c>
      <c r="E77" s="16">
        <f>+'[1]MEASUREMENT BREAK-UP'!DF77</f>
        <v>0</v>
      </c>
      <c r="F77" s="17"/>
      <c r="G77" s="35">
        <f t="shared" si="1"/>
        <v>0</v>
      </c>
    </row>
    <row r="78" spans="1:7" x14ac:dyDescent="0.25">
      <c r="A78" s="34" t="str">
        <f>IF(C78="","",COUNTA($C$14:C78))</f>
        <v/>
      </c>
      <c r="B78" s="31"/>
      <c r="C78" s="34"/>
      <c r="D78" s="29"/>
      <c r="E78" s="16">
        <f>+'[1]MEASUREMENT BREAK-UP'!DF78</f>
        <v>0</v>
      </c>
      <c r="F78" s="17"/>
      <c r="G78" s="35">
        <f t="shared" si="1"/>
        <v>0</v>
      </c>
    </row>
    <row r="79" spans="1:7" x14ac:dyDescent="0.25">
      <c r="A79" s="34">
        <f>IF(C79="","",COUNTA($C$14:C79))</f>
        <v>28</v>
      </c>
      <c r="B79" s="31" t="s">
        <v>51</v>
      </c>
      <c r="C79" s="34">
        <v>1</v>
      </c>
      <c r="D79" s="29" t="s">
        <v>11</v>
      </c>
      <c r="E79" s="16">
        <f>+'[1]MEASUREMENT BREAK-UP'!DF79</f>
        <v>702</v>
      </c>
      <c r="F79" s="17"/>
      <c r="G79" s="35">
        <f t="shared" si="1"/>
        <v>0</v>
      </c>
    </row>
    <row r="80" spans="1:7" x14ac:dyDescent="0.25">
      <c r="A80" s="34" t="str">
        <f>IF(C80="","",COUNTA($C$14:C80))</f>
        <v/>
      </c>
      <c r="B80" s="31"/>
      <c r="C80" s="34"/>
      <c r="D80" s="29"/>
      <c r="E80" s="16">
        <f>+'[1]MEASUREMENT BREAK-UP'!DF80</f>
        <v>0</v>
      </c>
      <c r="F80" s="17"/>
      <c r="G80" s="35">
        <f t="shared" si="1"/>
        <v>0</v>
      </c>
    </row>
    <row r="81" spans="1:7" x14ac:dyDescent="0.25">
      <c r="A81" s="34">
        <f>IF(C81="","",COUNTA($C$14:C81))</f>
        <v>29</v>
      </c>
      <c r="B81" s="31" t="s">
        <v>52</v>
      </c>
      <c r="C81" s="34">
        <v>1</v>
      </c>
      <c r="D81" s="29" t="s">
        <v>11</v>
      </c>
      <c r="E81" s="16">
        <f>+'[1]MEASUREMENT BREAK-UP'!DF81</f>
        <v>77</v>
      </c>
      <c r="F81" s="17"/>
      <c r="G81" s="35">
        <f t="shared" si="1"/>
        <v>0</v>
      </c>
    </row>
    <row r="82" spans="1:7" x14ac:dyDescent="0.25">
      <c r="A82" s="34" t="str">
        <f>IF(C82="","",COUNTA($C$14:C82))</f>
        <v/>
      </c>
      <c r="B82" s="31"/>
      <c r="C82" s="34"/>
      <c r="D82" s="29"/>
      <c r="E82" s="16">
        <f>+'[1]MEASUREMENT BREAK-UP'!DF82</f>
        <v>0</v>
      </c>
      <c r="F82" s="17"/>
      <c r="G82" s="35">
        <f t="shared" si="1"/>
        <v>0</v>
      </c>
    </row>
    <row r="83" spans="1:7" ht="48" customHeight="1" x14ac:dyDescent="0.25">
      <c r="A83" s="34">
        <f>IF(C83="","",COUNTA($C$14:C83))</f>
        <v>30</v>
      </c>
      <c r="B83" s="31" t="s">
        <v>53</v>
      </c>
      <c r="C83" s="34">
        <v>1</v>
      </c>
      <c r="D83" s="29" t="s">
        <v>11</v>
      </c>
      <c r="E83" s="16">
        <f>+'[1]MEASUREMENT BREAK-UP'!DF83</f>
        <v>0</v>
      </c>
      <c r="F83" s="17"/>
      <c r="G83" s="35">
        <f t="shared" si="1"/>
        <v>0</v>
      </c>
    </row>
    <row r="84" spans="1:7" x14ac:dyDescent="0.25">
      <c r="A84" s="34" t="str">
        <f>IF(C84="","",COUNTA($C$14:C84))</f>
        <v/>
      </c>
      <c r="B84" s="31"/>
      <c r="C84" s="34"/>
      <c r="D84" s="29"/>
      <c r="E84" s="16">
        <f>+'[1]MEASUREMENT BREAK-UP'!DF84</f>
        <v>0</v>
      </c>
      <c r="F84" s="17"/>
      <c r="G84" s="35">
        <f t="shared" si="1"/>
        <v>0</v>
      </c>
    </row>
    <row r="85" spans="1:7" ht="38.25" x14ac:dyDescent="0.25">
      <c r="A85" s="34">
        <f>IF(C85="","",COUNTA($C$14:C85))</f>
        <v>31</v>
      </c>
      <c r="B85" s="31" t="s">
        <v>54</v>
      </c>
      <c r="C85" s="34">
        <v>1</v>
      </c>
      <c r="D85" s="29" t="s">
        <v>11</v>
      </c>
      <c r="E85" s="16">
        <f>+'[1]MEASUREMENT BREAK-UP'!DF85</f>
        <v>979</v>
      </c>
      <c r="F85" s="17"/>
      <c r="G85" s="35">
        <f t="shared" si="1"/>
        <v>0</v>
      </c>
    </row>
    <row r="86" spans="1:7" x14ac:dyDescent="0.25">
      <c r="A86" s="38"/>
      <c r="B86" s="32"/>
      <c r="C86" s="33"/>
      <c r="D86" s="29"/>
      <c r="E86" s="16">
        <f>+'[1]MEASUREMENT BREAK-UP'!DF86</f>
        <v>0</v>
      </c>
      <c r="F86" s="17"/>
      <c r="G86" s="35">
        <f t="shared" si="1"/>
        <v>0</v>
      </c>
    </row>
    <row r="87" spans="1:7" ht="30" x14ac:dyDescent="0.25">
      <c r="A87" s="39"/>
      <c r="B87" s="40" t="s">
        <v>55</v>
      </c>
      <c r="C87" s="39"/>
      <c r="D87" s="40"/>
      <c r="E87" s="41">
        <f>+'[1]MEASUREMENT BREAK-UP'!DF87</f>
        <v>0</v>
      </c>
      <c r="F87" s="42"/>
      <c r="G87" s="43">
        <f>SUM(G18:G86)</f>
        <v>0</v>
      </c>
    </row>
    <row r="88" spans="1:7" x14ac:dyDescent="0.25">
      <c r="A88" s="44"/>
      <c r="B88" s="45"/>
      <c r="C88" s="46"/>
      <c r="D88" s="47"/>
      <c r="E88" s="16">
        <f>+'[1]MEASUREMENT BREAK-UP'!DF88</f>
        <v>0</v>
      </c>
      <c r="F88" s="17"/>
      <c r="G88" s="48"/>
    </row>
    <row r="89" spans="1:7" x14ac:dyDescent="0.25">
      <c r="A89" s="39" t="s">
        <v>56</v>
      </c>
      <c r="B89" s="40" t="s">
        <v>57</v>
      </c>
      <c r="C89" s="49"/>
      <c r="D89" s="22"/>
      <c r="E89" s="16">
        <f>+'[1]MEASUREMENT BREAK-UP'!DF89</f>
        <v>0</v>
      </c>
      <c r="F89" s="22"/>
      <c r="G89" s="48"/>
    </row>
    <row r="90" spans="1:7" x14ac:dyDescent="0.25">
      <c r="A90" s="50"/>
      <c r="B90" s="51" t="s">
        <v>58</v>
      </c>
      <c r="C90" s="49"/>
      <c r="D90" s="29"/>
      <c r="E90" s="16">
        <f>+'[1]MEASUREMENT BREAK-UP'!DF90</f>
        <v>0</v>
      </c>
      <c r="F90" s="17"/>
      <c r="G90" s="48"/>
    </row>
    <row r="91" spans="1:7" x14ac:dyDescent="0.25">
      <c r="A91" s="36" t="str">
        <f>IF(C91="","",COUNTA($C$90:C91))</f>
        <v/>
      </c>
      <c r="B91" s="51" t="s">
        <v>59</v>
      </c>
      <c r="C91" s="34"/>
      <c r="D91" s="29"/>
      <c r="E91" s="16">
        <f>+'[1]MEASUREMENT BREAK-UP'!DF91</f>
        <v>0</v>
      </c>
      <c r="F91" s="17"/>
      <c r="G91" s="48"/>
    </row>
    <row r="92" spans="1:7" ht="135.75" customHeight="1" x14ac:dyDescent="0.25">
      <c r="A92" s="34">
        <f>IF(C92="","",COUNTA($C$90:C92))</f>
        <v>1</v>
      </c>
      <c r="B92" s="31" t="s">
        <v>60</v>
      </c>
      <c r="C92" s="34">
        <v>1</v>
      </c>
      <c r="D92" s="29"/>
      <c r="E92" s="16">
        <f>+'[1]MEASUREMENT BREAK-UP'!DF92</f>
        <v>0</v>
      </c>
      <c r="F92" s="17"/>
      <c r="G92" s="35"/>
    </row>
    <row r="93" spans="1:7" ht="25.5" x14ac:dyDescent="0.25">
      <c r="A93" s="36" t="str">
        <f>IF(C93="","",COUNTA($C$90:C93))</f>
        <v/>
      </c>
      <c r="B93" s="31" t="s">
        <v>61</v>
      </c>
      <c r="C93" s="34"/>
      <c r="D93" s="29"/>
      <c r="E93" s="16">
        <f>+'[1]MEASUREMENT BREAK-UP'!DF93</f>
        <v>0</v>
      </c>
      <c r="F93" s="17"/>
      <c r="G93" s="35"/>
    </row>
    <row r="94" spans="1:7" x14ac:dyDescent="0.25">
      <c r="A94" s="36" t="s">
        <v>24</v>
      </c>
      <c r="B94" s="31" t="s">
        <v>62</v>
      </c>
      <c r="C94" s="34"/>
      <c r="D94" s="29" t="s">
        <v>63</v>
      </c>
      <c r="E94" s="16" t="s">
        <v>17</v>
      </c>
      <c r="F94" s="17"/>
      <c r="G94" s="35">
        <f t="shared" ref="G94:G157" si="2">IFERROR(E94*F94,0)</f>
        <v>0</v>
      </c>
    </row>
    <row r="95" spans="1:7" x14ac:dyDescent="0.25">
      <c r="A95" s="36" t="s">
        <v>26</v>
      </c>
      <c r="B95" s="31" t="s">
        <v>64</v>
      </c>
      <c r="C95" s="34"/>
      <c r="D95" s="29" t="s">
        <v>63</v>
      </c>
      <c r="E95" s="16">
        <f>+'[1]MEASUREMENT BREAK-UP'!DF95</f>
        <v>11346</v>
      </c>
      <c r="F95" s="17"/>
      <c r="G95" s="35">
        <f t="shared" si="2"/>
        <v>0</v>
      </c>
    </row>
    <row r="96" spans="1:7" x14ac:dyDescent="0.25">
      <c r="A96" s="36" t="s">
        <v>28</v>
      </c>
      <c r="B96" s="31" t="s">
        <v>65</v>
      </c>
      <c r="C96" s="34"/>
      <c r="D96" s="29" t="s">
        <v>63</v>
      </c>
      <c r="E96" s="16">
        <f>+'[1]MEASUREMENT BREAK-UP'!DF96</f>
        <v>6852</v>
      </c>
      <c r="F96" s="17"/>
      <c r="G96" s="35">
        <f t="shared" si="2"/>
        <v>0</v>
      </c>
    </row>
    <row r="97" spans="1:7" x14ac:dyDescent="0.25">
      <c r="A97" s="36" t="s">
        <v>49</v>
      </c>
      <c r="B97" s="31" t="s">
        <v>66</v>
      </c>
      <c r="C97" s="34"/>
      <c r="D97" s="29" t="s">
        <v>63</v>
      </c>
      <c r="E97" s="16" t="s">
        <v>17</v>
      </c>
      <c r="F97" s="17"/>
      <c r="G97" s="35">
        <f t="shared" si="2"/>
        <v>0</v>
      </c>
    </row>
    <row r="98" spans="1:7" x14ac:dyDescent="0.25">
      <c r="A98" s="36" t="s">
        <v>67</v>
      </c>
      <c r="B98" s="31" t="s">
        <v>68</v>
      </c>
      <c r="C98" s="34"/>
      <c r="D98" s="29" t="s">
        <v>63</v>
      </c>
      <c r="E98" s="16" t="s">
        <v>17</v>
      </c>
      <c r="F98" s="17"/>
      <c r="G98" s="35">
        <f t="shared" si="2"/>
        <v>0</v>
      </c>
    </row>
    <row r="99" spans="1:7" x14ac:dyDescent="0.25">
      <c r="A99" s="36" t="s">
        <v>69</v>
      </c>
      <c r="B99" s="31" t="s">
        <v>70</v>
      </c>
      <c r="C99" s="34"/>
      <c r="D99" s="29" t="s">
        <v>63</v>
      </c>
      <c r="E99" s="16" t="s">
        <v>17</v>
      </c>
      <c r="F99" s="17"/>
      <c r="G99" s="35">
        <f t="shared" si="2"/>
        <v>0</v>
      </c>
    </row>
    <row r="100" spans="1:7" x14ac:dyDescent="0.25">
      <c r="A100" s="36" t="str">
        <f>IF(C100="","",COUNTA($C$90:C100))</f>
        <v/>
      </c>
      <c r="B100" s="31"/>
      <c r="C100" s="34"/>
      <c r="D100" s="29"/>
      <c r="E100" s="16">
        <f>+'[1]MEASUREMENT BREAK-UP'!DF100</f>
        <v>0</v>
      </c>
      <c r="F100" s="17"/>
      <c r="G100" s="35">
        <f t="shared" si="2"/>
        <v>0</v>
      </c>
    </row>
    <row r="101" spans="1:7" ht="17.25" customHeight="1" x14ac:dyDescent="0.25">
      <c r="A101" s="36" t="str">
        <f>IF(C101="","",COUNTA($C$90:C101))</f>
        <v/>
      </c>
      <c r="B101" s="49" t="s">
        <v>71</v>
      </c>
      <c r="C101" s="34"/>
      <c r="D101" s="29"/>
      <c r="E101" s="16">
        <f>+'[1]MEASUREMENT BREAK-UP'!DF101</f>
        <v>0</v>
      </c>
      <c r="F101" s="17"/>
      <c r="G101" s="35">
        <f t="shared" si="2"/>
        <v>0</v>
      </c>
    </row>
    <row r="102" spans="1:7" ht="133.5" customHeight="1" x14ac:dyDescent="0.25">
      <c r="A102" s="34">
        <f>IF(C102="","",COUNTA($C$90:C102))</f>
        <v>2</v>
      </c>
      <c r="B102" s="31" t="s">
        <v>60</v>
      </c>
      <c r="C102" s="34">
        <v>1</v>
      </c>
      <c r="D102" s="29"/>
      <c r="E102" s="16">
        <f>+'[1]MEASUREMENT BREAK-UP'!DF102</f>
        <v>0</v>
      </c>
      <c r="F102" s="17"/>
      <c r="G102" s="35">
        <f t="shared" si="2"/>
        <v>0</v>
      </c>
    </row>
    <row r="103" spans="1:7" ht="34.5" customHeight="1" x14ac:dyDescent="0.25">
      <c r="A103" s="36" t="str">
        <f>IF(C103="","",COUNTA($C$90:C103))</f>
        <v/>
      </c>
      <c r="B103" s="31" t="s">
        <v>61</v>
      </c>
      <c r="C103" s="34"/>
      <c r="D103" s="29"/>
      <c r="E103" s="16">
        <f>+'[1]MEASUREMENT BREAK-UP'!DF103</f>
        <v>0</v>
      </c>
      <c r="F103" s="17"/>
      <c r="G103" s="35">
        <f t="shared" si="2"/>
        <v>0</v>
      </c>
    </row>
    <row r="104" spans="1:7" x14ac:dyDescent="0.25">
      <c r="A104" s="36" t="s">
        <v>24</v>
      </c>
      <c r="B104" s="31" t="s">
        <v>62</v>
      </c>
      <c r="C104" s="34"/>
      <c r="D104" s="29" t="s">
        <v>63</v>
      </c>
      <c r="E104" s="16" t="s">
        <v>17</v>
      </c>
      <c r="F104" s="17"/>
      <c r="G104" s="35">
        <f>IFERROR(E104*F104,0)</f>
        <v>0</v>
      </c>
    </row>
    <row r="105" spans="1:7" x14ac:dyDescent="0.25">
      <c r="A105" s="36" t="s">
        <v>26</v>
      </c>
      <c r="B105" s="31" t="s">
        <v>64</v>
      </c>
      <c r="C105" s="34"/>
      <c r="D105" s="29" t="s">
        <v>63</v>
      </c>
      <c r="E105" s="16" t="s">
        <v>17</v>
      </c>
      <c r="F105" s="17"/>
      <c r="G105" s="35">
        <f t="shared" si="2"/>
        <v>0</v>
      </c>
    </row>
    <row r="106" spans="1:7" x14ac:dyDescent="0.25">
      <c r="A106" s="36" t="s">
        <v>28</v>
      </c>
      <c r="B106" s="31" t="s">
        <v>65</v>
      </c>
      <c r="C106" s="34"/>
      <c r="D106" s="29" t="s">
        <v>63</v>
      </c>
      <c r="E106" s="16">
        <f>+'[1]MEASUREMENT BREAK-UP'!DF106</f>
        <v>1644</v>
      </c>
      <c r="F106" s="17"/>
      <c r="G106" s="35">
        <f t="shared" si="2"/>
        <v>0</v>
      </c>
    </row>
    <row r="107" spans="1:7" x14ac:dyDescent="0.25">
      <c r="A107" s="36" t="s">
        <v>49</v>
      </c>
      <c r="B107" s="31" t="s">
        <v>66</v>
      </c>
      <c r="C107" s="34"/>
      <c r="D107" s="29" t="s">
        <v>63</v>
      </c>
      <c r="E107" s="16" t="s">
        <v>17</v>
      </c>
      <c r="F107" s="17"/>
      <c r="G107" s="35">
        <f t="shared" si="2"/>
        <v>0</v>
      </c>
    </row>
    <row r="108" spans="1:7" x14ac:dyDescent="0.25">
      <c r="A108" s="36" t="s">
        <v>67</v>
      </c>
      <c r="B108" s="31" t="s">
        <v>68</v>
      </c>
      <c r="C108" s="34"/>
      <c r="D108" s="29" t="s">
        <v>63</v>
      </c>
      <c r="E108" s="16">
        <f>+'[1]MEASUREMENT BREAK-UP'!DF108</f>
        <v>3044</v>
      </c>
      <c r="F108" s="17"/>
      <c r="G108" s="35">
        <f t="shared" si="2"/>
        <v>0</v>
      </c>
    </row>
    <row r="109" spans="1:7" x14ac:dyDescent="0.25">
      <c r="A109" s="36" t="s">
        <v>69</v>
      </c>
      <c r="B109" s="31" t="s">
        <v>70</v>
      </c>
      <c r="C109" s="34"/>
      <c r="D109" s="29" t="s">
        <v>63</v>
      </c>
      <c r="E109" s="16">
        <f>+'[1]MEASUREMENT BREAK-UP'!DF109</f>
        <v>1066</v>
      </c>
      <c r="F109" s="17"/>
      <c r="G109" s="35">
        <f>IFERROR(E109*F109,0)</f>
        <v>0</v>
      </c>
    </row>
    <row r="110" spans="1:7" x14ac:dyDescent="0.25">
      <c r="A110" s="36" t="s">
        <v>72</v>
      </c>
      <c r="B110" s="31" t="s">
        <v>73</v>
      </c>
      <c r="C110" s="34"/>
      <c r="D110" s="29" t="s">
        <v>63</v>
      </c>
      <c r="E110" s="16">
        <f>+'[1]MEASUREMENT BREAK-UP'!DF110</f>
        <v>504</v>
      </c>
      <c r="F110" s="17"/>
      <c r="G110" s="35">
        <f t="shared" si="2"/>
        <v>0</v>
      </c>
    </row>
    <row r="111" spans="1:7" x14ac:dyDescent="0.25">
      <c r="A111" s="36" t="s">
        <v>74</v>
      </c>
      <c r="B111" s="31" t="s">
        <v>75</v>
      </c>
      <c r="C111" s="34"/>
      <c r="D111" s="29" t="s">
        <v>63</v>
      </c>
      <c r="E111" s="16">
        <f>+'[1]MEASUREMENT BREAK-UP'!DF111</f>
        <v>40</v>
      </c>
      <c r="F111" s="17"/>
      <c r="G111" s="35">
        <f t="shared" si="2"/>
        <v>0</v>
      </c>
    </row>
    <row r="112" spans="1:7" x14ac:dyDescent="0.25">
      <c r="A112" s="36" t="s">
        <v>76</v>
      </c>
      <c r="B112" s="31" t="s">
        <v>77</v>
      </c>
      <c r="C112" s="34"/>
      <c r="D112" s="29" t="s">
        <v>63</v>
      </c>
      <c r="E112" s="16">
        <f>+'[1]MEASUREMENT BREAK-UP'!DF112</f>
        <v>33</v>
      </c>
      <c r="F112" s="17"/>
      <c r="G112" s="35">
        <f t="shared" si="2"/>
        <v>0</v>
      </c>
    </row>
    <row r="113" spans="1:7" x14ac:dyDescent="0.25">
      <c r="A113" s="52" t="s">
        <v>78</v>
      </c>
      <c r="B113" s="31" t="s">
        <v>79</v>
      </c>
      <c r="C113" s="34"/>
      <c r="D113" s="29" t="s">
        <v>63</v>
      </c>
      <c r="E113" s="16" t="s">
        <v>17</v>
      </c>
      <c r="F113" s="17"/>
      <c r="G113" s="35">
        <f t="shared" si="2"/>
        <v>0</v>
      </c>
    </row>
    <row r="114" spans="1:7" x14ac:dyDescent="0.25">
      <c r="A114" s="36" t="str">
        <f>IF(C114="","",COUNTA($C$90:C114))</f>
        <v/>
      </c>
      <c r="B114" s="31"/>
      <c r="C114" s="34"/>
      <c r="D114" s="29"/>
      <c r="E114" s="16">
        <f>+'[1]MEASUREMENT BREAK-UP'!DF114</f>
        <v>0</v>
      </c>
      <c r="F114" s="17"/>
      <c r="G114" s="35">
        <f t="shared" si="2"/>
        <v>0</v>
      </c>
    </row>
    <row r="115" spans="1:7" ht="79.5" customHeight="1" x14ac:dyDescent="0.25">
      <c r="A115" s="34">
        <f>IF(C115="","",COUNTA($C$90:C115))</f>
        <v>3</v>
      </c>
      <c r="B115" s="31" t="s">
        <v>80</v>
      </c>
      <c r="C115" s="34">
        <v>1</v>
      </c>
      <c r="D115" s="29"/>
      <c r="E115" s="16">
        <f>+'[1]MEASUREMENT BREAK-UP'!DF115</f>
        <v>0</v>
      </c>
      <c r="F115" s="17"/>
      <c r="G115" s="35">
        <f t="shared" si="2"/>
        <v>0</v>
      </c>
    </row>
    <row r="116" spans="1:7" x14ac:dyDescent="0.25">
      <c r="A116" s="36" t="s">
        <v>24</v>
      </c>
      <c r="B116" s="31" t="s">
        <v>81</v>
      </c>
      <c r="C116" s="34"/>
      <c r="D116" s="29" t="s">
        <v>63</v>
      </c>
      <c r="E116" s="16">
        <f>+'[1]MEASUREMENT BREAK-UP'!DF116</f>
        <v>0</v>
      </c>
      <c r="F116" s="17"/>
      <c r="G116" s="35">
        <f t="shared" si="2"/>
        <v>0</v>
      </c>
    </row>
    <row r="117" spans="1:7" x14ac:dyDescent="0.25">
      <c r="A117" s="36" t="s">
        <v>26</v>
      </c>
      <c r="B117" s="31" t="s">
        <v>82</v>
      </c>
      <c r="C117" s="34"/>
      <c r="D117" s="29" t="s">
        <v>63</v>
      </c>
      <c r="E117" s="16">
        <f>+'[1]MEASUREMENT BREAK-UP'!DF117</f>
        <v>0</v>
      </c>
      <c r="F117" s="17"/>
      <c r="G117" s="35">
        <f t="shared" si="2"/>
        <v>0</v>
      </c>
    </row>
    <row r="118" spans="1:7" x14ac:dyDescent="0.25">
      <c r="A118" s="36" t="s">
        <v>28</v>
      </c>
      <c r="B118" s="31" t="s">
        <v>83</v>
      </c>
      <c r="C118" s="34"/>
      <c r="D118" s="29" t="s">
        <v>63</v>
      </c>
      <c r="E118" s="16">
        <f>+'[1]MEASUREMENT BREAK-UP'!DF118</f>
        <v>0</v>
      </c>
      <c r="F118" s="17"/>
      <c r="G118" s="35">
        <f t="shared" si="2"/>
        <v>0</v>
      </c>
    </row>
    <row r="119" spans="1:7" x14ac:dyDescent="0.25">
      <c r="A119" s="36" t="s">
        <v>49</v>
      </c>
      <c r="B119" s="31" t="s">
        <v>84</v>
      </c>
      <c r="C119" s="34"/>
      <c r="D119" s="29" t="s">
        <v>63</v>
      </c>
      <c r="E119" s="16">
        <f>+'[1]MEASUREMENT BREAK-UP'!DF119</f>
        <v>0</v>
      </c>
      <c r="F119" s="17"/>
      <c r="G119" s="35">
        <f t="shared" si="2"/>
        <v>0</v>
      </c>
    </row>
    <row r="120" spans="1:7" x14ac:dyDescent="0.25">
      <c r="A120" s="36" t="s">
        <v>67</v>
      </c>
      <c r="B120" s="31" t="s">
        <v>85</v>
      </c>
      <c r="C120" s="34"/>
      <c r="D120" s="29" t="s">
        <v>63</v>
      </c>
      <c r="E120" s="16">
        <f>+'[1]MEASUREMENT BREAK-UP'!DF120</f>
        <v>0</v>
      </c>
      <c r="F120" s="17"/>
      <c r="G120" s="35">
        <f t="shared" si="2"/>
        <v>0</v>
      </c>
    </row>
    <row r="121" spans="1:7" x14ac:dyDescent="0.25">
      <c r="A121" s="36" t="s">
        <v>69</v>
      </c>
      <c r="B121" s="31" t="s">
        <v>86</v>
      </c>
      <c r="C121" s="34"/>
      <c r="D121" s="29" t="s">
        <v>63</v>
      </c>
      <c r="E121" s="16">
        <f>+'[1]MEASUREMENT BREAK-UP'!DF121</f>
        <v>0</v>
      </c>
      <c r="F121" s="17"/>
      <c r="G121" s="35">
        <f t="shared" si="2"/>
        <v>0</v>
      </c>
    </row>
    <row r="122" spans="1:7" x14ac:dyDescent="0.25">
      <c r="A122" s="36" t="str">
        <f>IF(C122="","",COUNTA($C$90:C122))</f>
        <v/>
      </c>
      <c r="B122" s="31"/>
      <c r="C122" s="34"/>
      <c r="D122" s="29"/>
      <c r="E122" s="16">
        <f>+'[1]MEASUREMENT BREAK-UP'!DF122</f>
        <v>0</v>
      </c>
      <c r="F122" s="17"/>
      <c r="G122" s="35">
        <f t="shared" si="2"/>
        <v>0</v>
      </c>
    </row>
    <row r="123" spans="1:7" ht="139.5" customHeight="1" x14ac:dyDescent="0.25">
      <c r="A123" s="34">
        <f>IF(C123="","",COUNTA($C$90:C123))</f>
        <v>4</v>
      </c>
      <c r="B123" s="31" t="s">
        <v>87</v>
      </c>
      <c r="C123" s="34">
        <v>1</v>
      </c>
      <c r="D123" s="29"/>
      <c r="E123" s="16">
        <f>+'[1]MEASUREMENT BREAK-UP'!DF123</f>
        <v>0</v>
      </c>
      <c r="F123" s="17"/>
      <c r="G123" s="35">
        <f t="shared" si="2"/>
        <v>0</v>
      </c>
    </row>
    <row r="124" spans="1:7" x14ac:dyDescent="0.25">
      <c r="A124" s="36" t="s">
        <v>24</v>
      </c>
      <c r="B124" s="31" t="s">
        <v>81</v>
      </c>
      <c r="C124" s="34"/>
      <c r="D124" s="29" t="s">
        <v>63</v>
      </c>
      <c r="E124" s="16">
        <f>+'[1]MEASUREMENT BREAK-UP'!DF124</f>
        <v>0</v>
      </c>
      <c r="F124" s="17"/>
      <c r="G124" s="35">
        <f t="shared" si="2"/>
        <v>0</v>
      </c>
    </row>
    <row r="125" spans="1:7" x14ac:dyDescent="0.25">
      <c r="A125" s="36" t="s">
        <v>26</v>
      </c>
      <c r="B125" s="31" t="s">
        <v>82</v>
      </c>
      <c r="C125" s="34"/>
      <c r="D125" s="29" t="s">
        <v>63</v>
      </c>
      <c r="E125" s="16">
        <f>+'[1]MEASUREMENT BREAK-UP'!DF125</f>
        <v>0</v>
      </c>
      <c r="F125" s="17"/>
      <c r="G125" s="35">
        <f t="shared" si="2"/>
        <v>0</v>
      </c>
    </row>
    <row r="126" spans="1:7" x14ac:dyDescent="0.25">
      <c r="A126" s="36" t="s">
        <v>28</v>
      </c>
      <c r="B126" s="31" t="s">
        <v>83</v>
      </c>
      <c r="C126" s="34"/>
      <c r="D126" s="29" t="s">
        <v>63</v>
      </c>
      <c r="E126" s="16">
        <f>+'[1]MEASUREMENT BREAK-UP'!DF126</f>
        <v>0</v>
      </c>
      <c r="F126" s="17"/>
      <c r="G126" s="35">
        <f t="shared" si="2"/>
        <v>0</v>
      </c>
    </row>
    <row r="127" spans="1:7" x14ac:dyDescent="0.25">
      <c r="A127" s="36" t="s">
        <v>49</v>
      </c>
      <c r="B127" s="31" t="s">
        <v>84</v>
      </c>
      <c r="C127" s="34"/>
      <c r="D127" s="29" t="s">
        <v>63</v>
      </c>
      <c r="E127" s="16">
        <f>+'[1]MEASUREMENT BREAK-UP'!DF127</f>
        <v>0</v>
      </c>
      <c r="F127" s="17"/>
      <c r="G127" s="35">
        <f t="shared" si="2"/>
        <v>0</v>
      </c>
    </row>
    <row r="128" spans="1:7" x14ac:dyDescent="0.25">
      <c r="A128" s="36" t="s">
        <v>67</v>
      </c>
      <c r="B128" s="31" t="s">
        <v>85</v>
      </c>
      <c r="C128" s="34"/>
      <c r="D128" s="29" t="s">
        <v>63</v>
      </c>
      <c r="E128" s="16">
        <f>+'[1]MEASUREMENT BREAK-UP'!DF128</f>
        <v>0</v>
      </c>
      <c r="F128" s="17"/>
      <c r="G128" s="35">
        <f t="shared" si="2"/>
        <v>0</v>
      </c>
    </row>
    <row r="129" spans="1:7" x14ac:dyDescent="0.25">
      <c r="A129" s="36" t="s">
        <v>69</v>
      </c>
      <c r="B129" s="31" t="s">
        <v>86</v>
      </c>
      <c r="C129" s="34"/>
      <c r="D129" s="29" t="s">
        <v>63</v>
      </c>
      <c r="E129" s="16">
        <f>+'[1]MEASUREMENT BREAK-UP'!DF129</f>
        <v>0</v>
      </c>
      <c r="F129" s="17"/>
      <c r="G129" s="35">
        <f t="shared" si="2"/>
        <v>0</v>
      </c>
    </row>
    <row r="130" spans="1:7" x14ac:dyDescent="0.25">
      <c r="A130" s="36" t="s">
        <v>72</v>
      </c>
      <c r="B130" s="31" t="s">
        <v>88</v>
      </c>
      <c r="C130" s="34"/>
      <c r="D130" s="29" t="s">
        <v>63</v>
      </c>
      <c r="E130" s="16">
        <f>+'[1]MEASUREMENT BREAK-UP'!DF130</f>
        <v>0</v>
      </c>
      <c r="F130" s="17"/>
      <c r="G130" s="35">
        <f t="shared" si="2"/>
        <v>0</v>
      </c>
    </row>
    <row r="131" spans="1:7" x14ac:dyDescent="0.25">
      <c r="A131" s="36" t="s">
        <v>74</v>
      </c>
      <c r="B131" s="31" t="s">
        <v>89</v>
      </c>
      <c r="C131" s="34"/>
      <c r="D131" s="29" t="s">
        <v>63</v>
      </c>
      <c r="E131" s="16">
        <f>+'[1]MEASUREMENT BREAK-UP'!DF131</f>
        <v>0</v>
      </c>
      <c r="F131" s="17"/>
      <c r="G131" s="35">
        <f t="shared" si="2"/>
        <v>0</v>
      </c>
    </row>
    <row r="132" spans="1:7" x14ac:dyDescent="0.25">
      <c r="A132" s="36" t="str">
        <f>IF(C132="","",COUNTA($C$90:C132))</f>
        <v/>
      </c>
      <c r="B132" s="31"/>
      <c r="C132" s="34"/>
      <c r="D132" s="29"/>
      <c r="E132" s="16">
        <f>+'[1]MEASUREMENT BREAK-UP'!DF132</f>
        <v>0</v>
      </c>
      <c r="F132" s="17"/>
      <c r="G132" s="35">
        <f t="shared" si="2"/>
        <v>0</v>
      </c>
    </row>
    <row r="133" spans="1:7" ht="159" customHeight="1" x14ac:dyDescent="0.25">
      <c r="A133" s="34">
        <f>IF(C133="","",COUNTA($C$90:C133))</f>
        <v>5</v>
      </c>
      <c r="B133" s="31" t="s">
        <v>90</v>
      </c>
      <c r="C133" s="34">
        <v>1</v>
      </c>
      <c r="D133" s="29"/>
      <c r="E133" s="16">
        <f>+'[1]MEASUREMENT BREAK-UP'!DF133</f>
        <v>0</v>
      </c>
      <c r="F133" s="17"/>
      <c r="G133" s="35">
        <f t="shared" si="2"/>
        <v>0</v>
      </c>
    </row>
    <row r="134" spans="1:7" x14ac:dyDescent="0.25">
      <c r="A134" s="36" t="s">
        <v>24</v>
      </c>
      <c r="B134" s="31" t="s">
        <v>91</v>
      </c>
      <c r="C134" s="34"/>
      <c r="D134" s="29" t="s">
        <v>63</v>
      </c>
      <c r="E134" s="16">
        <f>+'[1]MEASUREMENT BREAK-UP'!DF134</f>
        <v>0</v>
      </c>
      <c r="F134" s="17"/>
      <c r="G134" s="35">
        <f t="shared" si="2"/>
        <v>0</v>
      </c>
    </row>
    <row r="135" spans="1:7" x14ac:dyDescent="0.25">
      <c r="A135" s="36" t="s">
        <v>26</v>
      </c>
      <c r="B135" s="31" t="s">
        <v>92</v>
      </c>
      <c r="C135" s="34"/>
      <c r="D135" s="29" t="s">
        <v>63</v>
      </c>
      <c r="E135" s="16">
        <f>+'[1]MEASUREMENT BREAK-UP'!DF135</f>
        <v>0</v>
      </c>
      <c r="F135" s="17"/>
      <c r="G135" s="35">
        <f t="shared" si="2"/>
        <v>0</v>
      </c>
    </row>
    <row r="136" spans="1:7" x14ac:dyDescent="0.25">
      <c r="A136" s="36" t="s">
        <v>28</v>
      </c>
      <c r="B136" s="31" t="s">
        <v>93</v>
      </c>
      <c r="C136" s="34"/>
      <c r="D136" s="29" t="s">
        <v>63</v>
      </c>
      <c r="E136" s="16">
        <f>+'[1]MEASUREMENT BREAK-UP'!DF136</f>
        <v>0</v>
      </c>
      <c r="F136" s="17"/>
      <c r="G136" s="35">
        <f t="shared" si="2"/>
        <v>0</v>
      </c>
    </row>
    <row r="137" spans="1:7" x14ac:dyDescent="0.25">
      <c r="A137" s="36" t="s">
        <v>49</v>
      </c>
      <c r="B137" s="31" t="s">
        <v>94</v>
      </c>
      <c r="C137" s="34"/>
      <c r="D137" s="29" t="s">
        <v>63</v>
      </c>
      <c r="E137" s="16">
        <f>+'[1]MEASUREMENT BREAK-UP'!DF137</f>
        <v>0</v>
      </c>
      <c r="F137" s="17"/>
      <c r="G137" s="35">
        <f t="shared" si="2"/>
        <v>0</v>
      </c>
    </row>
    <row r="138" spans="1:7" x14ac:dyDescent="0.25">
      <c r="A138" s="36" t="s">
        <v>67</v>
      </c>
      <c r="B138" s="31" t="s">
        <v>95</v>
      </c>
      <c r="C138" s="34"/>
      <c r="D138" s="29" t="s">
        <v>63</v>
      </c>
      <c r="E138" s="16">
        <f>+'[1]MEASUREMENT BREAK-UP'!DF138</f>
        <v>0</v>
      </c>
      <c r="F138" s="17"/>
      <c r="G138" s="35">
        <f t="shared" si="2"/>
        <v>0</v>
      </c>
    </row>
    <row r="139" spans="1:7" x14ac:dyDescent="0.25">
      <c r="A139" s="36" t="str">
        <f>IF(C139="","",COUNTA($C$90:C139))</f>
        <v/>
      </c>
      <c r="B139" s="31"/>
      <c r="C139" s="34"/>
      <c r="D139" s="29"/>
      <c r="E139" s="16">
        <f>+'[1]MEASUREMENT BREAK-UP'!DF139</f>
        <v>0</v>
      </c>
      <c r="F139" s="17"/>
      <c r="G139" s="35">
        <f t="shared" si="2"/>
        <v>0</v>
      </c>
    </row>
    <row r="140" spans="1:7" x14ac:dyDescent="0.25">
      <c r="A140" s="36" t="str">
        <f>IF(C140="","",COUNTA($C$90:C140))</f>
        <v/>
      </c>
      <c r="B140" s="31" t="s">
        <v>96</v>
      </c>
      <c r="C140" s="34"/>
      <c r="D140" s="29"/>
      <c r="E140" s="16">
        <f>+'[1]MEASUREMENT BREAK-UP'!DF140</f>
        <v>0</v>
      </c>
      <c r="F140" s="17"/>
      <c r="G140" s="35">
        <f t="shared" si="2"/>
        <v>0</v>
      </c>
    </row>
    <row r="141" spans="1:7" ht="38.25" x14ac:dyDescent="0.25">
      <c r="A141" s="34">
        <f>IF(C141="","",COUNTA($C$90:C141))</f>
        <v>6</v>
      </c>
      <c r="B141" s="31" t="s">
        <v>97</v>
      </c>
      <c r="C141" s="34">
        <v>1</v>
      </c>
      <c r="D141" s="29"/>
      <c r="E141" s="16">
        <f>+'[1]MEASUREMENT BREAK-UP'!DF141</f>
        <v>0</v>
      </c>
      <c r="F141" s="17"/>
      <c r="G141" s="35">
        <f t="shared" si="2"/>
        <v>0</v>
      </c>
    </row>
    <row r="142" spans="1:7" x14ac:dyDescent="0.25">
      <c r="A142" s="36" t="s">
        <v>24</v>
      </c>
      <c r="B142" s="31" t="s">
        <v>98</v>
      </c>
      <c r="C142" s="34"/>
      <c r="D142" s="29" t="s">
        <v>63</v>
      </c>
      <c r="E142" s="16" t="s">
        <v>17</v>
      </c>
      <c r="F142" s="17"/>
      <c r="G142" s="35">
        <f t="shared" si="2"/>
        <v>0</v>
      </c>
    </row>
    <row r="143" spans="1:7" x14ac:dyDescent="0.25">
      <c r="A143" s="36" t="s">
        <v>26</v>
      </c>
      <c r="B143" s="31" t="s">
        <v>99</v>
      </c>
      <c r="C143" s="34"/>
      <c r="D143" s="29" t="s">
        <v>63</v>
      </c>
      <c r="E143" s="16">
        <f>+'[1]MEASUREMENT BREAK-UP'!DF143</f>
        <v>1896</v>
      </c>
      <c r="F143" s="17"/>
      <c r="G143" s="35">
        <f t="shared" si="2"/>
        <v>0</v>
      </c>
    </row>
    <row r="144" spans="1:7" x14ac:dyDescent="0.25">
      <c r="A144" s="36" t="s">
        <v>28</v>
      </c>
      <c r="B144" s="31" t="s">
        <v>100</v>
      </c>
      <c r="C144" s="34"/>
      <c r="D144" s="29" t="s">
        <v>63</v>
      </c>
      <c r="E144" s="16">
        <f>+'[1]MEASUREMENT BREAK-UP'!DF144</f>
        <v>1264</v>
      </c>
      <c r="F144" s="17"/>
      <c r="G144" s="35">
        <f t="shared" si="2"/>
        <v>0</v>
      </c>
    </row>
    <row r="145" spans="1:7" x14ac:dyDescent="0.25">
      <c r="A145" s="36" t="str">
        <f>IF(C145="","",COUNTA($C$90:C145))</f>
        <v/>
      </c>
      <c r="B145" s="31"/>
      <c r="C145" s="34"/>
      <c r="D145" s="29"/>
      <c r="E145" s="16">
        <f>+'[1]MEASUREMENT BREAK-UP'!DF145</f>
        <v>0</v>
      </c>
      <c r="F145" s="17"/>
      <c r="G145" s="35">
        <f t="shared" si="2"/>
        <v>0</v>
      </c>
    </row>
    <row r="146" spans="1:7" x14ac:dyDescent="0.25">
      <c r="A146" s="36" t="str">
        <f>IF(C146="","",COUNTA($C$90:C146))</f>
        <v/>
      </c>
      <c r="B146" s="31" t="s">
        <v>101</v>
      </c>
      <c r="C146" s="34"/>
      <c r="D146" s="29"/>
      <c r="E146" s="16">
        <f>+'[1]MEASUREMENT BREAK-UP'!DF146</f>
        <v>0</v>
      </c>
      <c r="F146" s="17"/>
      <c r="G146" s="35">
        <f t="shared" si="2"/>
        <v>0</v>
      </c>
    </row>
    <row r="147" spans="1:7" ht="38.25" x14ac:dyDescent="0.25">
      <c r="A147" s="34">
        <f>IF(C147="","",COUNTA($C$90:C147))</f>
        <v>7</v>
      </c>
      <c r="B147" s="31" t="s">
        <v>102</v>
      </c>
      <c r="C147" s="34">
        <v>1</v>
      </c>
      <c r="D147" s="29"/>
      <c r="E147" s="16">
        <f>+'[1]MEASUREMENT BREAK-UP'!DF147</f>
        <v>0</v>
      </c>
      <c r="F147" s="17"/>
      <c r="G147" s="35">
        <f t="shared" si="2"/>
        <v>0</v>
      </c>
    </row>
    <row r="148" spans="1:7" x14ac:dyDescent="0.25">
      <c r="A148" s="36" t="s">
        <v>24</v>
      </c>
      <c r="B148" s="31" t="s">
        <v>103</v>
      </c>
      <c r="C148" s="34"/>
      <c r="D148" s="29" t="s">
        <v>63</v>
      </c>
      <c r="E148" s="16">
        <f>+'[1]MEASUREMENT BREAK-UP'!DF148</f>
        <v>0</v>
      </c>
      <c r="F148" s="17"/>
      <c r="G148" s="35">
        <f t="shared" si="2"/>
        <v>0</v>
      </c>
    </row>
    <row r="149" spans="1:7" x14ac:dyDescent="0.25">
      <c r="A149" s="36" t="s">
        <v>26</v>
      </c>
      <c r="B149" s="31" t="s">
        <v>104</v>
      </c>
      <c r="C149" s="34"/>
      <c r="D149" s="29" t="s">
        <v>63</v>
      </c>
      <c r="E149" s="16">
        <f>+'[1]MEASUREMENT BREAK-UP'!DF149</f>
        <v>0</v>
      </c>
      <c r="F149" s="17"/>
      <c r="G149" s="35">
        <f t="shared" si="2"/>
        <v>0</v>
      </c>
    </row>
    <row r="150" spans="1:7" x14ac:dyDescent="0.25">
      <c r="A150" s="36" t="s">
        <v>28</v>
      </c>
      <c r="B150" s="31" t="s">
        <v>105</v>
      </c>
      <c r="C150" s="34"/>
      <c r="D150" s="29" t="s">
        <v>63</v>
      </c>
      <c r="E150" s="16">
        <f>+'[1]MEASUREMENT BREAK-UP'!DF150</f>
        <v>0</v>
      </c>
      <c r="F150" s="17"/>
      <c r="G150" s="35">
        <f t="shared" si="2"/>
        <v>0</v>
      </c>
    </row>
    <row r="151" spans="1:7" x14ac:dyDescent="0.25">
      <c r="A151" s="36" t="s">
        <v>49</v>
      </c>
      <c r="B151" s="31" t="s">
        <v>106</v>
      </c>
      <c r="C151" s="34"/>
      <c r="D151" s="29" t="s">
        <v>63</v>
      </c>
      <c r="E151" s="16">
        <f>+'[1]MEASUREMENT BREAK-UP'!DF151</f>
        <v>0</v>
      </c>
      <c r="F151" s="17"/>
      <c r="G151" s="35">
        <f t="shared" si="2"/>
        <v>0</v>
      </c>
    </row>
    <row r="152" spans="1:7" x14ac:dyDescent="0.25">
      <c r="A152" s="36" t="s">
        <v>67</v>
      </c>
      <c r="B152" s="31" t="s">
        <v>107</v>
      </c>
      <c r="C152" s="34"/>
      <c r="D152" s="29" t="s">
        <v>108</v>
      </c>
      <c r="E152" s="16">
        <f>+'[1]MEASUREMENT BREAK-UP'!DF152</f>
        <v>0</v>
      </c>
      <c r="F152" s="17"/>
      <c r="G152" s="35">
        <f t="shared" si="2"/>
        <v>0</v>
      </c>
    </row>
    <row r="153" spans="1:7" x14ac:dyDescent="0.25">
      <c r="A153" s="36" t="s">
        <v>69</v>
      </c>
      <c r="B153" s="31" t="s">
        <v>109</v>
      </c>
      <c r="C153" s="34"/>
      <c r="D153" s="29" t="s">
        <v>108</v>
      </c>
      <c r="E153" s="16">
        <f>+'[1]MEASUREMENT BREAK-UP'!DF153</f>
        <v>0</v>
      </c>
      <c r="F153" s="17"/>
      <c r="G153" s="35">
        <f t="shared" si="2"/>
        <v>0</v>
      </c>
    </row>
    <row r="154" spans="1:7" x14ac:dyDescent="0.25">
      <c r="A154" s="36" t="s">
        <v>72</v>
      </c>
      <c r="B154" s="31" t="s">
        <v>110</v>
      </c>
      <c r="C154" s="34"/>
      <c r="D154" s="29" t="s">
        <v>108</v>
      </c>
      <c r="E154" s="16">
        <f>+'[1]MEASUREMENT BREAK-UP'!DF154</f>
        <v>0</v>
      </c>
      <c r="F154" s="17"/>
      <c r="G154" s="35">
        <f t="shared" si="2"/>
        <v>0</v>
      </c>
    </row>
    <row r="155" spans="1:7" x14ac:dyDescent="0.25">
      <c r="A155" s="36" t="s">
        <v>74</v>
      </c>
      <c r="B155" s="31" t="s">
        <v>111</v>
      </c>
      <c r="C155" s="34"/>
      <c r="D155" s="29" t="s">
        <v>108</v>
      </c>
      <c r="E155" s="16">
        <f>+'[1]MEASUREMENT BREAK-UP'!DF155</f>
        <v>0</v>
      </c>
      <c r="F155" s="17"/>
      <c r="G155" s="35">
        <f t="shared" si="2"/>
        <v>0</v>
      </c>
    </row>
    <row r="156" spans="1:7" x14ac:dyDescent="0.25">
      <c r="A156" s="36" t="s">
        <v>76</v>
      </c>
      <c r="B156" s="31" t="s">
        <v>112</v>
      </c>
      <c r="C156" s="34"/>
      <c r="D156" s="29" t="s">
        <v>108</v>
      </c>
      <c r="E156" s="16">
        <f>+'[1]MEASUREMENT BREAK-UP'!DF156</f>
        <v>0</v>
      </c>
      <c r="F156" s="17"/>
      <c r="G156" s="35">
        <f t="shared" si="2"/>
        <v>0</v>
      </c>
    </row>
    <row r="157" spans="1:7" x14ac:dyDescent="0.25">
      <c r="A157" s="36" t="str">
        <f>IF(C157="","",COUNTA($C$90:C157))</f>
        <v/>
      </c>
      <c r="B157" s="31"/>
      <c r="C157" s="34"/>
      <c r="D157" s="29"/>
      <c r="E157" s="16">
        <f>+'[1]MEASUREMENT BREAK-UP'!DF157</f>
        <v>0</v>
      </c>
      <c r="F157" s="17"/>
      <c r="G157" s="35">
        <f t="shared" si="2"/>
        <v>0</v>
      </c>
    </row>
    <row r="158" spans="1:7" s="12" customFormat="1" ht="25.5" x14ac:dyDescent="0.25">
      <c r="A158" s="34">
        <f>IF(C158="","",COUNTA($C$90:C158))</f>
        <v>8</v>
      </c>
      <c r="B158" s="31" t="s">
        <v>113</v>
      </c>
      <c r="C158" s="34">
        <v>1</v>
      </c>
      <c r="D158" s="29"/>
      <c r="E158" s="16">
        <f>+'[1]MEASUREMENT BREAK-UP'!DF158</f>
        <v>0</v>
      </c>
      <c r="F158" s="17"/>
      <c r="G158" s="35">
        <f t="shared" ref="G158:G223" si="3">IFERROR(E158*F158,0)</f>
        <v>0</v>
      </c>
    </row>
    <row r="159" spans="1:7" x14ac:dyDescent="0.25">
      <c r="A159" s="36" t="s">
        <v>24</v>
      </c>
      <c r="B159" s="31" t="s">
        <v>114</v>
      </c>
      <c r="C159" s="34"/>
      <c r="D159" s="29" t="s">
        <v>63</v>
      </c>
      <c r="E159" s="16">
        <f>+'[1]MEASUREMENT BREAK-UP'!DF159</f>
        <v>0</v>
      </c>
      <c r="F159" s="17"/>
      <c r="G159" s="35">
        <f t="shared" si="3"/>
        <v>0</v>
      </c>
    </row>
    <row r="160" spans="1:7" x14ac:dyDescent="0.25">
      <c r="A160" s="36" t="s">
        <v>26</v>
      </c>
      <c r="B160" s="31" t="s">
        <v>115</v>
      </c>
      <c r="C160" s="34"/>
      <c r="D160" s="29" t="s">
        <v>63</v>
      </c>
      <c r="E160" s="16">
        <f>+'[1]MEASUREMENT BREAK-UP'!DF160</f>
        <v>0</v>
      </c>
      <c r="F160" s="17"/>
      <c r="G160" s="35">
        <f t="shared" si="3"/>
        <v>0</v>
      </c>
    </row>
    <row r="161" spans="1:7" x14ac:dyDescent="0.25">
      <c r="A161" s="36" t="s">
        <v>28</v>
      </c>
      <c r="B161" s="31" t="s">
        <v>116</v>
      </c>
      <c r="C161" s="34"/>
      <c r="D161" s="29" t="s">
        <v>63</v>
      </c>
      <c r="E161" s="16">
        <f>+'[1]MEASUREMENT BREAK-UP'!DF161</f>
        <v>0</v>
      </c>
      <c r="F161" s="17"/>
      <c r="G161" s="35">
        <f t="shared" si="3"/>
        <v>0</v>
      </c>
    </row>
    <row r="162" spans="1:7" ht="16.899999999999999" customHeight="1" x14ac:dyDescent="0.25">
      <c r="A162" s="36" t="s">
        <v>49</v>
      </c>
      <c r="B162" s="31" t="s">
        <v>117</v>
      </c>
      <c r="C162" s="34"/>
      <c r="D162" s="29" t="s">
        <v>63</v>
      </c>
      <c r="E162" s="16">
        <f>+'[1]MEASUREMENT BREAK-UP'!DF162</f>
        <v>0</v>
      </c>
      <c r="F162" s="17"/>
      <c r="G162" s="35">
        <f t="shared" si="3"/>
        <v>0</v>
      </c>
    </row>
    <row r="163" spans="1:7" x14ac:dyDescent="0.25">
      <c r="A163" s="36" t="s">
        <v>67</v>
      </c>
      <c r="B163" s="31" t="s">
        <v>118</v>
      </c>
      <c r="C163" s="34"/>
      <c r="D163" s="29" t="s">
        <v>108</v>
      </c>
      <c r="E163" s="16">
        <f>+'[1]MEASUREMENT BREAK-UP'!DF163</f>
        <v>0</v>
      </c>
      <c r="F163" s="17"/>
      <c r="G163" s="35">
        <f t="shared" si="3"/>
        <v>0</v>
      </c>
    </row>
    <row r="164" spans="1:7" x14ac:dyDescent="0.25">
      <c r="A164" s="36" t="s">
        <v>69</v>
      </c>
      <c r="B164" s="31" t="s">
        <v>119</v>
      </c>
      <c r="C164" s="34"/>
      <c r="D164" s="29" t="s">
        <v>108</v>
      </c>
      <c r="E164" s="16">
        <f>+'[1]MEASUREMENT BREAK-UP'!DF164</f>
        <v>0</v>
      </c>
      <c r="F164" s="17"/>
      <c r="G164" s="35">
        <f t="shared" si="3"/>
        <v>0</v>
      </c>
    </row>
    <row r="165" spans="1:7" x14ac:dyDescent="0.25">
      <c r="A165" s="36" t="s">
        <v>72</v>
      </c>
      <c r="B165" s="31" t="s">
        <v>120</v>
      </c>
      <c r="C165" s="34"/>
      <c r="D165" s="29" t="s">
        <v>108</v>
      </c>
      <c r="E165" s="16">
        <f>+'[1]MEASUREMENT BREAK-UP'!DF165</f>
        <v>0</v>
      </c>
      <c r="F165" s="17"/>
      <c r="G165" s="35">
        <f t="shared" si="3"/>
        <v>0</v>
      </c>
    </row>
    <row r="166" spans="1:7" x14ac:dyDescent="0.25">
      <c r="A166" s="36" t="s">
        <v>74</v>
      </c>
      <c r="B166" s="31" t="s">
        <v>121</v>
      </c>
      <c r="C166" s="34"/>
      <c r="D166" s="29" t="s">
        <v>108</v>
      </c>
      <c r="E166" s="16">
        <f>+'[1]MEASUREMENT BREAK-UP'!DF166</f>
        <v>0</v>
      </c>
      <c r="F166" s="17"/>
      <c r="G166" s="35">
        <f t="shared" si="3"/>
        <v>0</v>
      </c>
    </row>
    <row r="167" spans="1:7" x14ac:dyDescent="0.25">
      <c r="A167" s="36" t="s">
        <v>76</v>
      </c>
      <c r="B167" s="31" t="s">
        <v>122</v>
      </c>
      <c r="C167" s="34"/>
      <c r="D167" s="29" t="s">
        <v>108</v>
      </c>
      <c r="E167" s="16">
        <f>+'[1]MEASUREMENT BREAK-UP'!DF167</f>
        <v>0</v>
      </c>
      <c r="F167" s="17"/>
      <c r="G167" s="35">
        <f t="shared" si="3"/>
        <v>0</v>
      </c>
    </row>
    <row r="168" spans="1:7" x14ac:dyDescent="0.25">
      <c r="A168" s="36" t="str">
        <f>IF(C168="","",COUNTA($C$90:C168))</f>
        <v/>
      </c>
      <c r="B168" s="31"/>
      <c r="C168" s="34"/>
      <c r="D168" s="29"/>
      <c r="E168" s="16">
        <f>+'[1]MEASUREMENT BREAK-UP'!DF168</f>
        <v>0</v>
      </c>
      <c r="F168" s="17"/>
      <c r="G168" s="35">
        <f t="shared" si="3"/>
        <v>0</v>
      </c>
    </row>
    <row r="169" spans="1:7" ht="60.75" customHeight="1" x14ac:dyDescent="0.25">
      <c r="A169" s="34">
        <f>IF(C169="","",COUNTA($C$90:C169))</f>
        <v>9</v>
      </c>
      <c r="B169" s="31" t="s">
        <v>123</v>
      </c>
      <c r="C169" s="34">
        <v>1</v>
      </c>
      <c r="D169" s="29"/>
      <c r="E169" s="16">
        <f>+'[1]MEASUREMENT BREAK-UP'!DF169</f>
        <v>0</v>
      </c>
      <c r="F169" s="17"/>
      <c r="G169" s="35">
        <f t="shared" si="3"/>
        <v>0</v>
      </c>
    </row>
    <row r="170" spans="1:7" x14ac:dyDescent="0.25">
      <c r="A170" s="36" t="s">
        <v>24</v>
      </c>
      <c r="B170" s="31" t="s">
        <v>124</v>
      </c>
      <c r="C170" s="34"/>
      <c r="D170" s="29" t="s">
        <v>11</v>
      </c>
      <c r="E170" s="16" t="s">
        <v>17</v>
      </c>
      <c r="F170" s="17"/>
      <c r="G170" s="35">
        <f t="shared" si="3"/>
        <v>0</v>
      </c>
    </row>
    <row r="171" spans="1:7" x14ac:dyDescent="0.25">
      <c r="A171" s="36" t="s">
        <v>26</v>
      </c>
      <c r="B171" s="31" t="s">
        <v>125</v>
      </c>
      <c r="C171" s="34"/>
      <c r="D171" s="29" t="s">
        <v>11</v>
      </c>
      <c r="E171" s="16" t="s">
        <v>17</v>
      </c>
      <c r="F171" s="17"/>
      <c r="G171" s="35">
        <f t="shared" si="3"/>
        <v>0</v>
      </c>
    </row>
    <row r="172" spans="1:7" x14ac:dyDescent="0.25">
      <c r="A172" s="36" t="s">
        <v>28</v>
      </c>
      <c r="B172" s="31" t="s">
        <v>126</v>
      </c>
      <c r="C172" s="34"/>
      <c r="D172" s="29" t="s">
        <v>11</v>
      </c>
      <c r="E172" s="16">
        <f>+'[1]MEASUREMENT BREAK-UP'!DF172</f>
        <v>896</v>
      </c>
      <c r="F172" s="17"/>
      <c r="G172" s="35">
        <f t="shared" si="3"/>
        <v>0</v>
      </c>
    </row>
    <row r="173" spans="1:7" x14ac:dyDescent="0.25">
      <c r="A173" s="36" t="s">
        <v>49</v>
      </c>
      <c r="B173" s="31" t="s">
        <v>127</v>
      </c>
      <c r="C173" s="34"/>
      <c r="D173" s="29" t="s">
        <v>11</v>
      </c>
      <c r="E173" s="16" t="s">
        <v>17</v>
      </c>
      <c r="F173" s="17"/>
      <c r="G173" s="35">
        <f t="shared" si="3"/>
        <v>0</v>
      </c>
    </row>
    <row r="174" spans="1:7" x14ac:dyDescent="0.25">
      <c r="A174" s="36" t="s">
        <v>67</v>
      </c>
      <c r="B174" s="31" t="s">
        <v>128</v>
      </c>
      <c r="C174" s="34"/>
      <c r="D174" s="29" t="s">
        <v>11</v>
      </c>
      <c r="E174" s="16">
        <f>+'[1]MEASUREMENT BREAK-UP'!DF174</f>
        <v>148</v>
      </c>
      <c r="F174" s="17"/>
      <c r="G174" s="35">
        <f t="shared" si="3"/>
        <v>0</v>
      </c>
    </row>
    <row r="175" spans="1:7" x14ac:dyDescent="0.25">
      <c r="A175" s="36" t="s">
        <v>69</v>
      </c>
      <c r="B175" s="31" t="s">
        <v>129</v>
      </c>
      <c r="C175" s="34"/>
      <c r="D175" s="29" t="s">
        <v>11</v>
      </c>
      <c r="E175" s="16">
        <f>+'[1]MEASUREMENT BREAK-UP'!DF175</f>
        <v>115</v>
      </c>
      <c r="F175" s="17"/>
      <c r="G175" s="35">
        <f t="shared" si="3"/>
        <v>0</v>
      </c>
    </row>
    <row r="176" spans="1:7" x14ac:dyDescent="0.25">
      <c r="A176" s="36" t="str">
        <f>IF(C176="","",COUNTA($C$90:C176))</f>
        <v/>
      </c>
      <c r="B176" s="31"/>
      <c r="C176" s="34"/>
      <c r="D176" s="29"/>
      <c r="E176" s="16">
        <f>+'[1]MEASUREMENT BREAK-UP'!DF176</f>
        <v>0</v>
      </c>
      <c r="F176" s="17"/>
      <c r="G176" s="35">
        <f t="shared" si="3"/>
        <v>0</v>
      </c>
    </row>
    <row r="177" spans="1:7" ht="25.5" x14ac:dyDescent="0.25">
      <c r="A177" s="34">
        <f>IF(C177="","",COUNTA($C$90:C177))</f>
        <v>10</v>
      </c>
      <c r="B177" s="31" t="s">
        <v>130</v>
      </c>
      <c r="C177" s="34">
        <v>1</v>
      </c>
      <c r="D177" s="29"/>
      <c r="E177" s="16">
        <f>+'[1]MEASUREMENT BREAK-UP'!DF177</f>
        <v>0</v>
      </c>
      <c r="F177" s="17"/>
      <c r="G177" s="35">
        <f t="shared" si="3"/>
        <v>0</v>
      </c>
    </row>
    <row r="178" spans="1:7" x14ac:dyDescent="0.25">
      <c r="A178" s="36" t="s">
        <v>24</v>
      </c>
      <c r="B178" s="31" t="s">
        <v>124</v>
      </c>
      <c r="C178" s="34"/>
      <c r="D178" s="29" t="s">
        <v>11</v>
      </c>
      <c r="E178" s="16" t="s">
        <v>17</v>
      </c>
      <c r="F178" s="17"/>
      <c r="G178" s="35">
        <f t="shared" si="3"/>
        <v>0</v>
      </c>
    </row>
    <row r="179" spans="1:7" x14ac:dyDescent="0.25">
      <c r="A179" s="36" t="s">
        <v>26</v>
      </c>
      <c r="B179" s="31" t="s">
        <v>125</v>
      </c>
      <c r="C179" s="34"/>
      <c r="D179" s="29" t="s">
        <v>11</v>
      </c>
      <c r="E179" s="16" t="s">
        <v>17</v>
      </c>
      <c r="F179" s="17"/>
      <c r="G179" s="35">
        <f t="shared" si="3"/>
        <v>0</v>
      </c>
    </row>
    <row r="180" spans="1:7" x14ac:dyDescent="0.25">
      <c r="A180" s="36" t="s">
        <v>28</v>
      </c>
      <c r="B180" s="31" t="s">
        <v>126</v>
      </c>
      <c r="C180" s="34"/>
      <c r="D180" s="29" t="s">
        <v>11</v>
      </c>
      <c r="E180" s="16" t="s">
        <v>17</v>
      </c>
      <c r="F180" s="17"/>
      <c r="G180" s="35">
        <f t="shared" si="3"/>
        <v>0</v>
      </c>
    </row>
    <row r="181" spans="1:7" x14ac:dyDescent="0.25">
      <c r="A181" s="36" t="s">
        <v>49</v>
      </c>
      <c r="B181" s="31" t="s">
        <v>127</v>
      </c>
      <c r="C181" s="34"/>
      <c r="D181" s="29" t="s">
        <v>11</v>
      </c>
      <c r="E181" s="16" t="s">
        <v>17</v>
      </c>
      <c r="F181" s="17"/>
      <c r="G181" s="35">
        <f t="shared" si="3"/>
        <v>0</v>
      </c>
    </row>
    <row r="182" spans="1:7" x14ac:dyDescent="0.25">
      <c r="A182" s="36" t="s">
        <v>67</v>
      </c>
      <c r="B182" s="31" t="s">
        <v>128</v>
      </c>
      <c r="C182" s="34"/>
      <c r="D182" s="29" t="s">
        <v>11</v>
      </c>
      <c r="E182" s="16" t="s">
        <v>17</v>
      </c>
      <c r="F182" s="17"/>
      <c r="G182" s="35">
        <f t="shared" si="3"/>
        <v>0</v>
      </c>
    </row>
    <row r="183" spans="1:7" x14ac:dyDescent="0.25">
      <c r="A183" s="36" t="s">
        <v>69</v>
      </c>
      <c r="B183" s="31" t="s">
        <v>129</v>
      </c>
      <c r="C183" s="34"/>
      <c r="D183" s="29" t="s">
        <v>11</v>
      </c>
      <c r="E183" s="16" t="s">
        <v>17</v>
      </c>
      <c r="F183" s="17"/>
      <c r="G183" s="35">
        <f t="shared" si="3"/>
        <v>0</v>
      </c>
    </row>
    <row r="184" spans="1:7" x14ac:dyDescent="0.25">
      <c r="A184" s="36" t="str">
        <f>IF(C184="","",COUNTA($C$90:C184))</f>
        <v/>
      </c>
      <c r="B184" s="31"/>
      <c r="C184" s="34"/>
      <c r="D184" s="29"/>
      <c r="E184" s="16">
        <f>+'[1]MEASUREMENT BREAK-UP'!DF184</f>
        <v>0</v>
      </c>
      <c r="F184" s="17"/>
      <c r="G184" s="35">
        <f t="shared" si="3"/>
        <v>0</v>
      </c>
    </row>
    <row r="185" spans="1:7" s="12" customFormat="1" ht="51" x14ac:dyDescent="0.25">
      <c r="A185" s="34">
        <f>IF(C185="","",COUNTA($C$90:C185))</f>
        <v>11</v>
      </c>
      <c r="B185" s="31" t="s">
        <v>131</v>
      </c>
      <c r="C185" s="34">
        <v>1</v>
      </c>
      <c r="D185" s="29"/>
      <c r="E185" s="16">
        <f>+'[1]MEASUREMENT BREAK-UP'!DF185</f>
        <v>0</v>
      </c>
      <c r="F185" s="17"/>
      <c r="G185" s="35">
        <f t="shared" si="3"/>
        <v>0</v>
      </c>
    </row>
    <row r="186" spans="1:7" x14ac:dyDescent="0.25">
      <c r="A186" s="36" t="s">
        <v>24</v>
      </c>
      <c r="B186" s="31" t="s">
        <v>86</v>
      </c>
      <c r="C186" s="34"/>
      <c r="D186" s="29" t="s">
        <v>11</v>
      </c>
      <c r="E186" s="16" t="s">
        <v>17</v>
      </c>
      <c r="F186" s="17"/>
      <c r="G186" s="35">
        <f t="shared" si="3"/>
        <v>0</v>
      </c>
    </row>
    <row r="187" spans="1:7" x14ac:dyDescent="0.25">
      <c r="A187" s="36" t="s">
        <v>26</v>
      </c>
      <c r="B187" s="31" t="s">
        <v>88</v>
      </c>
      <c r="C187" s="34"/>
      <c r="D187" s="29" t="s">
        <v>11</v>
      </c>
      <c r="E187" s="16">
        <f>+'[1]MEASUREMENT BREAK-UP'!DF187</f>
        <v>65</v>
      </c>
      <c r="F187" s="17"/>
      <c r="G187" s="35">
        <f t="shared" si="3"/>
        <v>0</v>
      </c>
    </row>
    <row r="188" spans="1:7" x14ac:dyDescent="0.25">
      <c r="A188" s="36" t="s">
        <v>28</v>
      </c>
      <c r="B188" s="31" t="s">
        <v>132</v>
      </c>
      <c r="C188" s="34"/>
      <c r="D188" s="29" t="s">
        <v>11</v>
      </c>
      <c r="E188" s="16">
        <f>+'[1]MEASUREMENT BREAK-UP'!DF188</f>
        <v>36</v>
      </c>
      <c r="F188" s="17"/>
      <c r="G188" s="35">
        <f t="shared" si="3"/>
        <v>0</v>
      </c>
    </row>
    <row r="189" spans="1:7" x14ac:dyDescent="0.25">
      <c r="A189" s="36" t="s">
        <v>49</v>
      </c>
      <c r="B189" s="31" t="s">
        <v>133</v>
      </c>
      <c r="C189" s="34"/>
      <c r="D189" s="29" t="s">
        <v>11</v>
      </c>
      <c r="E189" s="16">
        <f>+'[1]MEASUREMENT BREAK-UP'!DF189</f>
        <v>17</v>
      </c>
      <c r="F189" s="17"/>
      <c r="G189" s="35">
        <f t="shared" si="3"/>
        <v>0</v>
      </c>
    </row>
    <row r="190" spans="1:7" x14ac:dyDescent="0.25">
      <c r="A190" s="36" t="s">
        <v>67</v>
      </c>
      <c r="B190" s="31" t="s">
        <v>134</v>
      </c>
      <c r="C190" s="34"/>
      <c r="D190" s="29" t="s">
        <v>11</v>
      </c>
      <c r="E190" s="16" t="s">
        <v>17</v>
      </c>
      <c r="F190" s="17"/>
      <c r="G190" s="35">
        <f t="shared" si="3"/>
        <v>0</v>
      </c>
    </row>
    <row r="191" spans="1:7" x14ac:dyDescent="0.25">
      <c r="A191" s="36" t="str">
        <f>IF(C191="","",COUNTA($C$90:C191))</f>
        <v/>
      </c>
      <c r="B191" s="31"/>
      <c r="C191" s="34"/>
      <c r="D191" s="29"/>
      <c r="E191" s="16">
        <f>+'[1]MEASUREMENT BREAK-UP'!DF191</f>
        <v>0</v>
      </c>
      <c r="F191" s="17"/>
      <c r="G191" s="35">
        <f t="shared" si="3"/>
        <v>0</v>
      </c>
    </row>
    <row r="192" spans="1:7" s="12" customFormat="1" ht="51" x14ac:dyDescent="0.25">
      <c r="A192" s="34">
        <f>IF(C192="","",COUNTA($C$90:C192))</f>
        <v>12</v>
      </c>
      <c r="B192" s="31" t="s">
        <v>135</v>
      </c>
      <c r="C192" s="34">
        <v>1</v>
      </c>
      <c r="D192" s="29"/>
      <c r="E192" s="16">
        <f>+'[1]MEASUREMENT BREAK-UP'!DF192</f>
        <v>0</v>
      </c>
      <c r="F192" s="17"/>
      <c r="G192" s="35">
        <f t="shared" si="3"/>
        <v>0</v>
      </c>
    </row>
    <row r="193" spans="1:7" x14ac:dyDescent="0.25">
      <c r="A193" s="36" t="s">
        <v>24</v>
      </c>
      <c r="B193" s="31" t="s">
        <v>136</v>
      </c>
      <c r="C193" s="34"/>
      <c r="D193" s="29" t="s">
        <v>11</v>
      </c>
      <c r="E193" s="16">
        <f>+'[1]MEASUREMENT BREAK-UP'!DF193</f>
        <v>0</v>
      </c>
      <c r="F193" s="17"/>
      <c r="G193" s="35">
        <f t="shared" si="3"/>
        <v>0</v>
      </c>
    </row>
    <row r="194" spans="1:7" x14ac:dyDescent="0.25">
      <c r="A194" s="36" t="s">
        <v>26</v>
      </c>
      <c r="B194" s="31" t="s">
        <v>137</v>
      </c>
      <c r="C194" s="34"/>
      <c r="D194" s="29" t="s">
        <v>11</v>
      </c>
      <c r="E194" s="16">
        <f>+'[1]MEASUREMENT BREAK-UP'!DF194</f>
        <v>0</v>
      </c>
      <c r="F194" s="17"/>
      <c r="G194" s="35">
        <f t="shared" si="3"/>
        <v>0</v>
      </c>
    </row>
    <row r="195" spans="1:7" x14ac:dyDescent="0.25">
      <c r="A195" s="36" t="s">
        <v>28</v>
      </c>
      <c r="B195" s="31" t="s">
        <v>138</v>
      </c>
      <c r="C195" s="34"/>
      <c r="D195" s="29" t="s">
        <v>11</v>
      </c>
      <c r="E195" s="16">
        <f>+'[1]MEASUREMENT BREAK-UP'!DF195</f>
        <v>0</v>
      </c>
      <c r="F195" s="17"/>
      <c r="G195" s="35">
        <f t="shared" si="3"/>
        <v>0</v>
      </c>
    </row>
    <row r="196" spans="1:7" x14ac:dyDescent="0.25">
      <c r="A196" s="36" t="str">
        <f>IF(C196="","",COUNTA($C$90:C196))</f>
        <v/>
      </c>
      <c r="B196" s="31"/>
      <c r="C196" s="34"/>
      <c r="D196" s="29"/>
      <c r="E196" s="16">
        <f>+'[1]MEASUREMENT BREAK-UP'!DF196</f>
        <v>0</v>
      </c>
      <c r="F196" s="17"/>
      <c r="G196" s="35">
        <f t="shared" si="3"/>
        <v>0</v>
      </c>
    </row>
    <row r="197" spans="1:7" ht="178.5" x14ac:dyDescent="0.25">
      <c r="A197" s="34">
        <f>IF(C197="","",COUNTA($C$90:C197))</f>
        <v>13</v>
      </c>
      <c r="B197" s="31" t="s">
        <v>139</v>
      </c>
      <c r="C197" s="34">
        <v>1</v>
      </c>
      <c r="D197" s="29"/>
      <c r="E197" s="16">
        <f>+'[1]MEASUREMENT BREAK-UP'!DF197</f>
        <v>0</v>
      </c>
      <c r="F197" s="17"/>
      <c r="G197" s="35">
        <f t="shared" si="3"/>
        <v>0</v>
      </c>
    </row>
    <row r="198" spans="1:7" x14ac:dyDescent="0.25">
      <c r="A198" s="36" t="s">
        <v>24</v>
      </c>
      <c r="B198" s="31" t="s">
        <v>89</v>
      </c>
      <c r="C198" s="34"/>
      <c r="D198" s="29" t="s">
        <v>11</v>
      </c>
      <c r="E198" s="16" t="s">
        <v>17</v>
      </c>
      <c r="F198" s="17"/>
      <c r="G198" s="35">
        <f t="shared" si="3"/>
        <v>0</v>
      </c>
    </row>
    <row r="199" spans="1:7" x14ac:dyDescent="0.25">
      <c r="A199" s="36" t="s">
        <v>26</v>
      </c>
      <c r="B199" s="31" t="s">
        <v>140</v>
      </c>
      <c r="C199" s="34"/>
      <c r="D199" s="29" t="s">
        <v>11</v>
      </c>
      <c r="E199" s="16" t="s">
        <v>17</v>
      </c>
      <c r="F199" s="17"/>
      <c r="G199" s="35">
        <f t="shared" si="3"/>
        <v>0</v>
      </c>
    </row>
    <row r="200" spans="1:7" x14ac:dyDescent="0.25">
      <c r="A200" s="36" t="s">
        <v>28</v>
      </c>
      <c r="B200" s="31" t="s">
        <v>136</v>
      </c>
      <c r="C200" s="34"/>
      <c r="D200" s="29" t="s">
        <v>11</v>
      </c>
      <c r="E200" s="16" t="s">
        <v>17</v>
      </c>
      <c r="F200" s="17"/>
      <c r="G200" s="35">
        <f t="shared" si="3"/>
        <v>0</v>
      </c>
    </row>
    <row r="201" spans="1:7" x14ac:dyDescent="0.25">
      <c r="A201" s="36" t="s">
        <v>49</v>
      </c>
      <c r="B201" s="31" t="s">
        <v>137</v>
      </c>
      <c r="C201" s="34"/>
      <c r="D201" s="29" t="s">
        <v>11</v>
      </c>
      <c r="E201" s="16">
        <f>+'[1]MEASUREMENT BREAK-UP'!DF201</f>
        <v>0</v>
      </c>
      <c r="F201" s="17"/>
      <c r="G201" s="35">
        <f t="shared" si="3"/>
        <v>0</v>
      </c>
    </row>
    <row r="202" spans="1:7" x14ac:dyDescent="0.25">
      <c r="A202" s="36" t="s">
        <v>67</v>
      </c>
      <c r="B202" s="31" t="s">
        <v>138</v>
      </c>
      <c r="C202" s="34"/>
      <c r="D202" s="29" t="s">
        <v>11</v>
      </c>
      <c r="E202" s="16">
        <f>+'[1]MEASUREMENT BREAK-UP'!DF202</f>
        <v>0</v>
      </c>
      <c r="F202" s="17"/>
      <c r="G202" s="35">
        <f t="shared" si="3"/>
        <v>0</v>
      </c>
    </row>
    <row r="203" spans="1:7" x14ac:dyDescent="0.25">
      <c r="A203" s="36" t="str">
        <f>IF(C203="","",COUNTA($C$90:C203))</f>
        <v/>
      </c>
      <c r="B203" s="31"/>
      <c r="C203" s="34"/>
      <c r="D203" s="29"/>
      <c r="E203" s="16">
        <f>+'[1]MEASUREMENT BREAK-UP'!DF203</f>
        <v>0</v>
      </c>
      <c r="F203" s="17"/>
      <c r="G203" s="35">
        <f t="shared" si="3"/>
        <v>0</v>
      </c>
    </row>
    <row r="204" spans="1:7" ht="25.5" x14ac:dyDescent="0.25">
      <c r="A204" s="34">
        <f>IF(C204="","",COUNTA($C$90:C204))</f>
        <v>14</v>
      </c>
      <c r="B204" s="31" t="s">
        <v>141</v>
      </c>
      <c r="C204" s="34">
        <v>1</v>
      </c>
      <c r="D204" s="29"/>
      <c r="E204" s="16">
        <f>+'[1]MEASUREMENT BREAK-UP'!DF204</f>
        <v>0</v>
      </c>
      <c r="F204" s="17"/>
      <c r="G204" s="35">
        <f t="shared" si="3"/>
        <v>0</v>
      </c>
    </row>
    <row r="205" spans="1:7" x14ac:dyDescent="0.25">
      <c r="A205" s="36" t="s">
        <v>24</v>
      </c>
      <c r="B205" s="31" t="s">
        <v>142</v>
      </c>
      <c r="C205" s="34"/>
      <c r="D205" s="29" t="s">
        <v>11</v>
      </c>
      <c r="E205" s="16" t="s">
        <v>17</v>
      </c>
      <c r="F205" s="17"/>
      <c r="G205" s="35">
        <f t="shared" si="3"/>
        <v>0</v>
      </c>
    </row>
    <row r="206" spans="1:7" x14ac:dyDescent="0.25">
      <c r="A206" s="36" t="s">
        <v>26</v>
      </c>
      <c r="B206" s="31" t="s">
        <v>143</v>
      </c>
      <c r="C206" s="34"/>
      <c r="D206" s="29" t="s">
        <v>11</v>
      </c>
      <c r="E206" s="16">
        <f>+'[1]MEASUREMENT BREAK-UP'!DF206</f>
        <v>5</v>
      </c>
      <c r="F206" s="17"/>
      <c r="G206" s="35">
        <f t="shared" si="3"/>
        <v>0</v>
      </c>
    </row>
    <row r="207" spans="1:7" x14ac:dyDescent="0.25">
      <c r="A207" s="36" t="s">
        <v>28</v>
      </c>
      <c r="B207" s="31" t="s">
        <v>144</v>
      </c>
      <c r="C207" s="34"/>
      <c r="D207" s="29" t="s">
        <v>11</v>
      </c>
      <c r="E207" s="16">
        <f>+'[1]MEASUREMENT BREAK-UP'!DF207</f>
        <v>5</v>
      </c>
      <c r="F207" s="17"/>
      <c r="G207" s="35">
        <f t="shared" si="3"/>
        <v>0</v>
      </c>
    </row>
    <row r="208" spans="1:7" x14ac:dyDescent="0.25">
      <c r="A208" s="36" t="str">
        <f>IF(C208="","",COUNTA($C$90:C208))</f>
        <v/>
      </c>
      <c r="B208" s="31"/>
      <c r="C208" s="34"/>
      <c r="D208" s="29"/>
      <c r="E208" s="16">
        <f>+'[1]MEASUREMENT BREAK-UP'!DF208</f>
        <v>0</v>
      </c>
      <c r="F208" s="17"/>
      <c r="G208" s="35">
        <f t="shared" si="3"/>
        <v>0</v>
      </c>
    </row>
    <row r="209" spans="1:7" ht="38.25" x14ac:dyDescent="0.25">
      <c r="A209" s="34">
        <f>IF(C209="","",COUNTA($C$90:C209))</f>
        <v>15</v>
      </c>
      <c r="B209" s="31" t="s">
        <v>145</v>
      </c>
      <c r="C209" s="34">
        <v>1</v>
      </c>
      <c r="D209" s="29"/>
      <c r="E209" s="16">
        <f>+'[1]MEASUREMENT BREAK-UP'!DF209</f>
        <v>0</v>
      </c>
      <c r="F209" s="17"/>
      <c r="G209" s="35">
        <f t="shared" si="3"/>
        <v>0</v>
      </c>
    </row>
    <row r="210" spans="1:7" x14ac:dyDescent="0.25">
      <c r="A210" s="36" t="s">
        <v>24</v>
      </c>
      <c r="B210" s="31" t="s">
        <v>83</v>
      </c>
      <c r="C210" s="34"/>
      <c r="D210" s="29" t="s">
        <v>11</v>
      </c>
      <c r="E210" s="16">
        <f>+'[1]MEASUREMENT BREAK-UP'!DF210</f>
        <v>0</v>
      </c>
      <c r="F210" s="17"/>
      <c r="G210" s="35">
        <f t="shared" si="3"/>
        <v>0</v>
      </c>
    </row>
    <row r="211" spans="1:7" x14ac:dyDescent="0.25">
      <c r="A211" s="36" t="s">
        <v>26</v>
      </c>
      <c r="B211" s="31" t="s">
        <v>84</v>
      </c>
      <c r="C211" s="34"/>
      <c r="D211" s="29" t="s">
        <v>11</v>
      </c>
      <c r="E211" s="16">
        <f>+'[1]MEASUREMENT BREAK-UP'!DF211</f>
        <v>0</v>
      </c>
      <c r="F211" s="17"/>
      <c r="G211" s="35">
        <f t="shared" si="3"/>
        <v>0</v>
      </c>
    </row>
    <row r="212" spans="1:7" x14ac:dyDescent="0.25">
      <c r="A212" s="36" t="s">
        <v>28</v>
      </c>
      <c r="B212" s="31" t="s">
        <v>85</v>
      </c>
      <c r="C212" s="34"/>
      <c r="D212" s="29" t="s">
        <v>11</v>
      </c>
      <c r="E212" s="16" t="s">
        <v>17</v>
      </c>
      <c r="F212" s="17"/>
      <c r="G212" s="35">
        <f t="shared" si="3"/>
        <v>0</v>
      </c>
    </row>
    <row r="213" spans="1:7" x14ac:dyDescent="0.25">
      <c r="A213" s="36" t="s">
        <v>49</v>
      </c>
      <c r="B213" s="31" t="s">
        <v>86</v>
      </c>
      <c r="C213" s="34"/>
      <c r="D213" s="29" t="s">
        <v>11</v>
      </c>
      <c r="E213" s="16">
        <f>+'[1]MEASUREMENT BREAK-UP'!DF213</f>
        <v>15</v>
      </c>
      <c r="F213" s="17"/>
      <c r="G213" s="35">
        <f t="shared" si="3"/>
        <v>0</v>
      </c>
    </row>
    <row r="214" spans="1:7" x14ac:dyDescent="0.25">
      <c r="A214" s="36" t="str">
        <f>IF(C214="","",COUNTA($C$90:C214))</f>
        <v/>
      </c>
      <c r="B214" s="31"/>
      <c r="C214" s="34"/>
      <c r="D214" s="29"/>
      <c r="E214" s="16">
        <f>+'[1]MEASUREMENT BREAK-UP'!DF214</f>
        <v>0</v>
      </c>
      <c r="F214" s="17"/>
      <c r="G214" s="35">
        <f t="shared" si="3"/>
        <v>0</v>
      </c>
    </row>
    <row r="215" spans="1:7" ht="54.75" customHeight="1" x14ac:dyDescent="0.25">
      <c r="A215" s="53">
        <f>IF(C215="","",COUNTA($C$90:C215))</f>
        <v>16</v>
      </c>
      <c r="B215" s="31" t="s">
        <v>146</v>
      </c>
      <c r="C215" s="53">
        <v>1</v>
      </c>
      <c r="D215" s="54"/>
      <c r="E215" s="16">
        <f>+'[1]MEASUREMENT BREAK-UP'!DF215</f>
        <v>0</v>
      </c>
      <c r="F215" s="17"/>
      <c r="G215" s="25">
        <f t="shared" si="3"/>
        <v>0</v>
      </c>
    </row>
    <row r="216" spans="1:7" x14ac:dyDescent="0.25">
      <c r="A216" s="36" t="s">
        <v>24</v>
      </c>
      <c r="B216" s="31" t="s">
        <v>85</v>
      </c>
      <c r="C216" s="34"/>
      <c r="D216" s="29" t="s">
        <v>11</v>
      </c>
      <c r="E216" s="16" t="s">
        <v>17</v>
      </c>
      <c r="F216" s="17"/>
      <c r="G216" s="35">
        <f t="shared" si="3"/>
        <v>0</v>
      </c>
    </row>
    <row r="217" spans="1:7" x14ac:dyDescent="0.25">
      <c r="A217" s="36" t="s">
        <v>26</v>
      </c>
      <c r="B217" s="31" t="s">
        <v>86</v>
      </c>
      <c r="C217" s="34"/>
      <c r="D217" s="29" t="s">
        <v>11</v>
      </c>
      <c r="E217" s="16" t="s">
        <v>17</v>
      </c>
      <c r="F217" s="17"/>
      <c r="G217" s="35">
        <f t="shared" si="3"/>
        <v>0</v>
      </c>
    </row>
    <row r="218" spans="1:7" x14ac:dyDescent="0.25">
      <c r="A218" s="36" t="s">
        <v>28</v>
      </c>
      <c r="B218" s="31" t="s">
        <v>88</v>
      </c>
      <c r="C218" s="34"/>
      <c r="D218" s="29" t="s">
        <v>11</v>
      </c>
      <c r="E218" s="16">
        <f>+'[1]MEASUREMENT BREAK-UP'!DF218</f>
        <v>10</v>
      </c>
      <c r="F218" s="17"/>
      <c r="G218" s="35">
        <f t="shared" si="3"/>
        <v>0</v>
      </c>
    </row>
    <row r="219" spans="1:7" x14ac:dyDescent="0.25">
      <c r="A219" s="36" t="s">
        <v>49</v>
      </c>
      <c r="B219" s="31" t="s">
        <v>89</v>
      </c>
      <c r="C219" s="34"/>
      <c r="D219" s="29" t="s">
        <v>11</v>
      </c>
      <c r="E219" s="16" t="s">
        <v>17</v>
      </c>
      <c r="F219" s="17"/>
      <c r="G219" s="35">
        <f t="shared" si="3"/>
        <v>0</v>
      </c>
    </row>
    <row r="220" spans="1:7" x14ac:dyDescent="0.25">
      <c r="A220" s="36" t="s">
        <v>67</v>
      </c>
      <c r="B220" s="31" t="s">
        <v>140</v>
      </c>
      <c r="C220" s="34"/>
      <c r="D220" s="29" t="s">
        <v>11</v>
      </c>
      <c r="E220" s="16" t="s">
        <v>17</v>
      </c>
      <c r="F220" s="17"/>
      <c r="G220" s="35">
        <f t="shared" si="3"/>
        <v>0</v>
      </c>
    </row>
    <row r="221" spans="1:7" x14ac:dyDescent="0.25">
      <c r="A221" s="36" t="s">
        <v>69</v>
      </c>
      <c r="B221" s="31" t="s">
        <v>136</v>
      </c>
      <c r="C221" s="34"/>
      <c r="D221" s="29" t="s">
        <v>11</v>
      </c>
      <c r="E221" s="16" t="s">
        <v>17</v>
      </c>
      <c r="F221" s="17"/>
      <c r="G221" s="35">
        <f t="shared" si="3"/>
        <v>0</v>
      </c>
    </row>
    <row r="222" spans="1:7" x14ac:dyDescent="0.25">
      <c r="A222" s="36" t="str">
        <f>IF(C222="","",COUNTA($C$90:C222))</f>
        <v/>
      </c>
      <c r="B222" s="31"/>
      <c r="C222" s="34"/>
      <c r="D222" s="29"/>
      <c r="E222" s="16">
        <f>+'[1]MEASUREMENT BREAK-UP'!DF222</f>
        <v>0</v>
      </c>
      <c r="F222" s="17"/>
      <c r="G222" s="35">
        <f t="shared" si="3"/>
        <v>0</v>
      </c>
    </row>
    <row r="223" spans="1:7" ht="54" customHeight="1" x14ac:dyDescent="0.25">
      <c r="A223" s="34">
        <f>IF(C223="","",COUNTA($C$90:C223))</f>
        <v>17</v>
      </c>
      <c r="B223" s="31" t="s">
        <v>147</v>
      </c>
      <c r="C223" s="34">
        <v>1</v>
      </c>
      <c r="D223" s="29"/>
      <c r="E223" s="16">
        <f>+'[1]MEASUREMENT BREAK-UP'!DF223</f>
        <v>0</v>
      </c>
      <c r="F223" s="17"/>
      <c r="G223" s="35">
        <f t="shared" si="3"/>
        <v>0</v>
      </c>
    </row>
    <row r="224" spans="1:7" x14ac:dyDescent="0.25">
      <c r="A224" s="36" t="s">
        <v>24</v>
      </c>
      <c r="B224" s="31" t="s">
        <v>148</v>
      </c>
      <c r="C224" s="34"/>
      <c r="D224" s="29" t="s">
        <v>11</v>
      </c>
      <c r="E224" s="16" t="s">
        <v>17</v>
      </c>
      <c r="F224" s="17"/>
      <c r="G224" s="35">
        <f t="shared" ref="G224:G269" si="4">IFERROR(E224*F224,0)</f>
        <v>0</v>
      </c>
    </row>
    <row r="225" spans="1:8" x14ac:dyDescent="0.25">
      <c r="A225" s="36" t="s">
        <v>26</v>
      </c>
      <c r="B225" s="31" t="s">
        <v>149</v>
      </c>
      <c r="C225" s="34"/>
      <c r="D225" s="29" t="s">
        <v>11</v>
      </c>
      <c r="E225" s="16" t="s">
        <v>17</v>
      </c>
      <c r="F225" s="17"/>
      <c r="G225" s="35">
        <f t="shared" si="4"/>
        <v>0</v>
      </c>
    </row>
    <row r="226" spans="1:8" x14ac:dyDescent="0.25">
      <c r="A226" s="36" t="s">
        <v>28</v>
      </c>
      <c r="B226" s="31" t="s">
        <v>150</v>
      </c>
      <c r="C226" s="34"/>
      <c r="D226" s="29" t="s">
        <v>11</v>
      </c>
      <c r="E226" s="16" t="s">
        <v>17</v>
      </c>
      <c r="F226" s="17"/>
      <c r="G226" s="35">
        <f t="shared" si="4"/>
        <v>0</v>
      </c>
    </row>
    <row r="227" spans="1:8" x14ac:dyDescent="0.25">
      <c r="A227" s="36" t="s">
        <v>49</v>
      </c>
      <c r="B227" s="31" t="s">
        <v>151</v>
      </c>
      <c r="C227" s="34"/>
      <c r="D227" s="29" t="s">
        <v>11</v>
      </c>
      <c r="E227" s="16" t="s">
        <v>17</v>
      </c>
      <c r="F227" s="17"/>
      <c r="G227" s="35">
        <f t="shared" si="4"/>
        <v>0</v>
      </c>
    </row>
    <row r="228" spans="1:8" x14ac:dyDescent="0.25">
      <c r="A228" s="36" t="s">
        <v>67</v>
      </c>
      <c r="B228" s="31" t="s">
        <v>152</v>
      </c>
      <c r="C228" s="34"/>
      <c r="D228" s="29" t="s">
        <v>11</v>
      </c>
      <c r="E228" s="16" t="s">
        <v>17</v>
      </c>
      <c r="F228" s="17"/>
      <c r="G228" s="35">
        <f t="shared" si="4"/>
        <v>0</v>
      </c>
    </row>
    <row r="229" spans="1:8" x14ac:dyDescent="0.25">
      <c r="A229" s="36" t="s">
        <v>69</v>
      </c>
      <c r="B229" s="31" t="s">
        <v>153</v>
      </c>
      <c r="C229" s="34"/>
      <c r="D229" s="29" t="s">
        <v>11</v>
      </c>
      <c r="E229" s="16" t="s">
        <v>17</v>
      </c>
      <c r="F229" s="17"/>
      <c r="G229" s="35">
        <f t="shared" si="4"/>
        <v>0</v>
      </c>
    </row>
    <row r="230" spans="1:8" x14ac:dyDescent="0.25">
      <c r="A230" s="36" t="str">
        <f>IF(C230="","",COUNTA($C$90:C230))</f>
        <v/>
      </c>
      <c r="B230" s="31"/>
      <c r="C230" s="34"/>
      <c r="D230" s="29"/>
      <c r="E230" s="16">
        <f>+'[1]MEASUREMENT BREAK-UP'!DF230</f>
        <v>0</v>
      </c>
      <c r="F230" s="17"/>
      <c r="G230" s="35">
        <f t="shared" si="4"/>
        <v>0</v>
      </c>
    </row>
    <row r="231" spans="1:8" s="12" customFormat="1" ht="51" x14ac:dyDescent="0.25">
      <c r="A231" s="36">
        <f>IF(C231="","",COUNTA($C$90:C231))</f>
        <v>18</v>
      </c>
      <c r="B231" s="31" t="s">
        <v>154</v>
      </c>
      <c r="C231" s="34">
        <v>1</v>
      </c>
      <c r="D231" s="29"/>
      <c r="E231" s="16">
        <f>+'[1]MEASUREMENT BREAK-UP'!DF231</f>
        <v>0</v>
      </c>
      <c r="F231" s="55"/>
      <c r="G231" s="35">
        <f t="shared" si="4"/>
        <v>0</v>
      </c>
    </row>
    <row r="232" spans="1:8" x14ac:dyDescent="0.25">
      <c r="A232" s="36" t="s">
        <v>24</v>
      </c>
      <c r="B232" s="31" t="s">
        <v>85</v>
      </c>
      <c r="C232" s="34"/>
      <c r="D232" s="29" t="s">
        <v>11</v>
      </c>
      <c r="E232" s="16" t="s">
        <v>17</v>
      </c>
      <c r="F232" s="55"/>
      <c r="G232" s="35">
        <f t="shared" si="4"/>
        <v>0</v>
      </c>
    </row>
    <row r="233" spans="1:8" x14ac:dyDescent="0.25">
      <c r="A233" s="36" t="s">
        <v>26</v>
      </c>
      <c r="B233" s="31" t="s">
        <v>155</v>
      </c>
      <c r="C233" s="34"/>
      <c r="D233" s="29" t="s">
        <v>11</v>
      </c>
      <c r="E233" s="16" t="s">
        <v>17</v>
      </c>
      <c r="F233" s="55"/>
      <c r="G233" s="35">
        <f t="shared" si="4"/>
        <v>0</v>
      </c>
    </row>
    <row r="234" spans="1:8" x14ac:dyDescent="0.25">
      <c r="A234" s="36" t="s">
        <v>28</v>
      </c>
      <c r="B234" s="31" t="s">
        <v>89</v>
      </c>
      <c r="C234" s="34"/>
      <c r="D234" s="29" t="s">
        <v>11</v>
      </c>
      <c r="E234" s="16" t="s">
        <v>17</v>
      </c>
      <c r="F234" s="55"/>
      <c r="G234" s="35">
        <f t="shared" si="4"/>
        <v>0</v>
      </c>
    </row>
    <row r="235" spans="1:8" x14ac:dyDescent="0.25">
      <c r="A235" s="36" t="str">
        <f>IF(C235="","",COUNTA($C$90:C235))</f>
        <v/>
      </c>
      <c r="B235" s="31"/>
      <c r="C235" s="34"/>
      <c r="D235" s="29"/>
      <c r="E235" s="16">
        <f>+'[1]MEASUREMENT BREAK-UP'!DF235</f>
        <v>0</v>
      </c>
      <c r="F235" s="55"/>
      <c r="G235" s="35">
        <f t="shared" si="4"/>
        <v>0</v>
      </c>
    </row>
    <row r="236" spans="1:8" ht="111" customHeight="1" x14ac:dyDescent="0.25">
      <c r="A236" s="36">
        <f>IF(C236="","",COUNTA($C$90:C236))</f>
        <v>19</v>
      </c>
      <c r="B236" s="31" t="s">
        <v>156</v>
      </c>
      <c r="C236" s="34">
        <v>1</v>
      </c>
      <c r="D236" s="29"/>
      <c r="E236" s="16">
        <f>+'[1]MEASUREMENT BREAK-UP'!DF236</f>
        <v>0</v>
      </c>
      <c r="F236" s="17"/>
      <c r="G236" s="35">
        <f t="shared" si="4"/>
        <v>0</v>
      </c>
      <c r="H236" s="12"/>
    </row>
    <row r="237" spans="1:8" x14ac:dyDescent="0.25">
      <c r="A237" s="36" t="s">
        <v>24</v>
      </c>
      <c r="B237" s="31" t="s">
        <v>83</v>
      </c>
      <c r="C237" s="34"/>
      <c r="D237" s="29" t="s">
        <v>11</v>
      </c>
      <c r="E237" s="16" t="s">
        <v>17</v>
      </c>
      <c r="F237" s="17"/>
      <c r="G237" s="35">
        <f t="shared" si="4"/>
        <v>0</v>
      </c>
    </row>
    <row r="238" spans="1:8" x14ac:dyDescent="0.25">
      <c r="A238" s="36" t="s">
        <v>26</v>
      </c>
      <c r="B238" s="31" t="s">
        <v>84</v>
      </c>
      <c r="C238" s="34"/>
      <c r="D238" s="29" t="s">
        <v>11</v>
      </c>
      <c r="E238" s="16" t="s">
        <v>17</v>
      </c>
      <c r="F238" s="17"/>
      <c r="G238" s="35">
        <f t="shared" si="4"/>
        <v>0</v>
      </c>
    </row>
    <row r="239" spans="1:8" x14ac:dyDescent="0.25">
      <c r="A239" s="36" t="s">
        <v>28</v>
      </c>
      <c r="B239" s="31" t="s">
        <v>85</v>
      </c>
      <c r="C239" s="34"/>
      <c r="D239" s="29" t="s">
        <v>11</v>
      </c>
      <c r="E239" s="16" t="s">
        <v>17</v>
      </c>
      <c r="F239" s="17"/>
      <c r="G239" s="35">
        <f t="shared" si="4"/>
        <v>0</v>
      </c>
    </row>
    <row r="240" spans="1:8" x14ac:dyDescent="0.25">
      <c r="A240" s="36" t="s">
        <v>49</v>
      </c>
      <c r="B240" s="31" t="s">
        <v>86</v>
      </c>
      <c r="C240" s="34"/>
      <c r="D240" s="29" t="s">
        <v>11</v>
      </c>
      <c r="E240" s="16" t="s">
        <v>17</v>
      </c>
      <c r="F240" s="17"/>
      <c r="G240" s="35">
        <f t="shared" si="4"/>
        <v>0</v>
      </c>
    </row>
    <row r="241" spans="1:7" x14ac:dyDescent="0.25">
      <c r="A241" s="36" t="s">
        <v>67</v>
      </c>
      <c r="B241" s="31" t="s">
        <v>88</v>
      </c>
      <c r="C241" s="34"/>
      <c r="D241" s="29" t="s">
        <v>11</v>
      </c>
      <c r="E241" s="16" t="s">
        <v>17</v>
      </c>
      <c r="F241" s="17"/>
      <c r="G241" s="35">
        <f t="shared" si="4"/>
        <v>0</v>
      </c>
    </row>
    <row r="242" spans="1:7" x14ac:dyDescent="0.25">
      <c r="A242" s="36" t="s">
        <v>69</v>
      </c>
      <c r="B242" s="31" t="s">
        <v>89</v>
      </c>
      <c r="C242" s="34"/>
      <c r="D242" s="29" t="s">
        <v>11</v>
      </c>
      <c r="E242" s="16">
        <f>+'[1]MEASUREMENT BREAK-UP'!DF242</f>
        <v>1</v>
      </c>
      <c r="F242" s="17"/>
      <c r="G242" s="35">
        <f t="shared" si="4"/>
        <v>0</v>
      </c>
    </row>
    <row r="243" spans="1:7" x14ac:dyDescent="0.25">
      <c r="A243" s="36" t="s">
        <v>72</v>
      </c>
      <c r="B243" s="31" t="s">
        <v>140</v>
      </c>
      <c r="C243" s="34"/>
      <c r="D243" s="29" t="s">
        <v>11</v>
      </c>
      <c r="E243" s="16">
        <f>+'[1]MEASUREMENT BREAK-UP'!DF243</f>
        <v>6</v>
      </c>
      <c r="F243" s="17"/>
      <c r="G243" s="35">
        <f t="shared" si="4"/>
        <v>0</v>
      </c>
    </row>
    <row r="244" spans="1:7" x14ac:dyDescent="0.25">
      <c r="A244" s="36" t="s">
        <v>74</v>
      </c>
      <c r="B244" s="31" t="s">
        <v>136</v>
      </c>
      <c r="C244" s="34"/>
      <c r="D244" s="29" t="s">
        <v>11</v>
      </c>
      <c r="E244" s="16" t="s">
        <v>17</v>
      </c>
      <c r="F244" s="17"/>
      <c r="G244" s="35">
        <f t="shared" si="4"/>
        <v>0</v>
      </c>
    </row>
    <row r="245" spans="1:7" x14ac:dyDescent="0.25">
      <c r="A245" s="36" t="str">
        <f>IF(C245="","",COUNTA($C$90:C245))</f>
        <v/>
      </c>
      <c r="B245" s="31"/>
      <c r="C245" s="34"/>
      <c r="D245" s="29"/>
      <c r="E245" s="16">
        <f>+'[1]MEASUREMENT BREAK-UP'!DF245</f>
        <v>0</v>
      </c>
      <c r="F245" s="17"/>
      <c r="G245" s="35">
        <f t="shared" si="4"/>
        <v>0</v>
      </c>
    </row>
    <row r="246" spans="1:7" ht="138" customHeight="1" x14ac:dyDescent="0.25">
      <c r="A246" s="34">
        <f>IF(C246="","",COUNTA($C$90:C246))</f>
        <v>20</v>
      </c>
      <c r="B246" s="31" t="s">
        <v>157</v>
      </c>
      <c r="C246" s="34">
        <v>1</v>
      </c>
      <c r="D246" s="29"/>
      <c r="E246" s="16">
        <f>+'[1]MEASUREMENT BREAK-UP'!DF246</f>
        <v>0</v>
      </c>
      <c r="F246" s="17"/>
      <c r="G246" s="35">
        <f t="shared" si="4"/>
        <v>0</v>
      </c>
    </row>
    <row r="247" spans="1:7" ht="12.75" customHeight="1" x14ac:dyDescent="0.25">
      <c r="A247" s="36" t="s">
        <v>24</v>
      </c>
      <c r="B247" s="31" t="s">
        <v>158</v>
      </c>
      <c r="C247" s="34"/>
      <c r="D247" s="29" t="s">
        <v>159</v>
      </c>
      <c r="E247" s="16" t="s">
        <v>17</v>
      </c>
      <c r="F247" s="17"/>
      <c r="G247" s="35"/>
    </row>
    <row r="248" spans="1:7" x14ac:dyDescent="0.25">
      <c r="A248" s="36" t="s">
        <v>26</v>
      </c>
      <c r="B248" s="31" t="s">
        <v>160</v>
      </c>
      <c r="C248" s="34"/>
      <c r="D248" s="29" t="s">
        <v>159</v>
      </c>
      <c r="E248" s="16">
        <f>+'[1]MEASUREMENT BREAK-UP'!DF248</f>
        <v>29</v>
      </c>
      <c r="F248" s="17"/>
      <c r="G248" s="35">
        <f t="shared" si="4"/>
        <v>0</v>
      </c>
    </row>
    <row r="249" spans="1:7" x14ac:dyDescent="0.25">
      <c r="A249" s="36" t="s">
        <v>28</v>
      </c>
      <c r="B249" s="31" t="s">
        <v>161</v>
      </c>
      <c r="C249" s="34"/>
      <c r="D249" s="29" t="s">
        <v>159</v>
      </c>
      <c r="E249" s="16" t="s">
        <v>17</v>
      </c>
      <c r="F249" s="17"/>
      <c r="G249" s="35">
        <f t="shared" si="4"/>
        <v>0</v>
      </c>
    </row>
    <row r="250" spans="1:7" x14ac:dyDescent="0.25">
      <c r="A250" s="36" t="s">
        <v>49</v>
      </c>
      <c r="B250" s="31" t="s">
        <v>162</v>
      </c>
      <c r="C250" s="34"/>
      <c r="D250" s="29" t="s">
        <v>159</v>
      </c>
      <c r="E250" s="16">
        <f>+'[1]MEASUREMENT BREAK-UP'!DF250</f>
        <v>40</v>
      </c>
      <c r="F250" s="17"/>
      <c r="G250" s="35">
        <f t="shared" si="4"/>
        <v>0</v>
      </c>
    </row>
    <row r="251" spans="1:7" x14ac:dyDescent="0.25">
      <c r="A251" s="36" t="s">
        <v>67</v>
      </c>
      <c r="B251" s="31" t="s">
        <v>163</v>
      </c>
      <c r="C251" s="34"/>
      <c r="D251" s="29" t="s">
        <v>159</v>
      </c>
      <c r="E251" s="16">
        <f>+'[1]MEASUREMENT BREAK-UP'!DF251</f>
        <v>2</v>
      </c>
      <c r="F251" s="17"/>
      <c r="G251" s="35">
        <f t="shared" si="4"/>
        <v>0</v>
      </c>
    </row>
    <row r="252" spans="1:7" x14ac:dyDescent="0.25">
      <c r="A252" s="36" t="s">
        <v>69</v>
      </c>
      <c r="B252" s="31" t="s">
        <v>164</v>
      </c>
      <c r="C252" s="34"/>
      <c r="D252" s="29" t="s">
        <v>159</v>
      </c>
      <c r="E252" s="16" t="s">
        <v>17</v>
      </c>
      <c r="F252" s="17"/>
      <c r="G252" s="35">
        <f t="shared" si="4"/>
        <v>0</v>
      </c>
    </row>
    <row r="253" spans="1:7" x14ac:dyDescent="0.25">
      <c r="A253" s="36"/>
      <c r="B253" s="31"/>
      <c r="C253" s="34"/>
      <c r="D253" s="29"/>
      <c r="E253" s="16">
        <f>+'[1]MEASUREMENT BREAK-UP'!DF253</f>
        <v>0</v>
      </c>
      <c r="F253" s="17"/>
      <c r="G253" s="35"/>
    </row>
    <row r="254" spans="1:7" ht="54.75" customHeight="1" x14ac:dyDescent="0.25">
      <c r="A254" s="34">
        <f>IF(C254="","",COUNTA($C$90:C254))</f>
        <v>21</v>
      </c>
      <c r="B254" s="31" t="s">
        <v>165</v>
      </c>
      <c r="C254" s="34">
        <v>1</v>
      </c>
      <c r="D254" s="29"/>
      <c r="E254" s="16">
        <f>+'[1]MEASUREMENT BREAK-UP'!DF254</f>
        <v>0</v>
      </c>
      <c r="F254" s="17"/>
      <c r="G254" s="35">
        <f t="shared" ref="G254:G258" si="5">IFERROR(E254*F254,0)</f>
        <v>0</v>
      </c>
    </row>
    <row r="255" spans="1:7" x14ac:dyDescent="0.25">
      <c r="A255" s="36" t="s">
        <v>24</v>
      </c>
      <c r="B255" s="31" t="s">
        <v>124</v>
      </c>
      <c r="C255" s="34"/>
      <c r="D255" s="29" t="s">
        <v>159</v>
      </c>
      <c r="E255" s="16">
        <f>+'[1]MEASUREMENT BREAK-UP'!DF255</f>
        <v>0</v>
      </c>
      <c r="F255" s="17"/>
      <c r="G255" s="35">
        <f t="shared" si="5"/>
        <v>0</v>
      </c>
    </row>
    <row r="256" spans="1:7" x14ac:dyDescent="0.25">
      <c r="A256" s="36" t="s">
        <v>26</v>
      </c>
      <c r="B256" s="31" t="s">
        <v>125</v>
      </c>
      <c r="C256" s="34"/>
      <c r="D256" s="29" t="s">
        <v>159</v>
      </c>
      <c r="E256" s="16" t="s">
        <v>17</v>
      </c>
      <c r="F256" s="17"/>
      <c r="G256" s="35">
        <f t="shared" si="5"/>
        <v>0</v>
      </c>
    </row>
    <row r="257" spans="1:7" x14ac:dyDescent="0.25">
      <c r="A257" s="36" t="s">
        <v>28</v>
      </c>
      <c r="B257" s="31" t="s">
        <v>126</v>
      </c>
      <c r="C257" s="34"/>
      <c r="D257" s="29" t="s">
        <v>159</v>
      </c>
      <c r="E257" s="16">
        <f>+'[1]MEASUREMENT BREAK-UP'!DF257</f>
        <v>10</v>
      </c>
      <c r="F257" s="17"/>
      <c r="G257" s="35">
        <f t="shared" si="5"/>
        <v>0</v>
      </c>
    </row>
    <row r="258" spans="1:7" x14ac:dyDescent="0.25">
      <c r="A258" s="36" t="str">
        <f>IF(C258="","",COUNTA($C$90:C258))</f>
        <v/>
      </c>
      <c r="B258" s="31"/>
      <c r="C258" s="34"/>
      <c r="D258" s="29"/>
      <c r="E258" s="16">
        <f>+'[1]MEASUREMENT BREAK-UP'!DF258</f>
        <v>0</v>
      </c>
      <c r="F258" s="17"/>
      <c r="G258" s="35">
        <f t="shared" si="5"/>
        <v>0</v>
      </c>
    </row>
    <row r="259" spans="1:7" ht="267.75" customHeight="1" x14ac:dyDescent="0.25">
      <c r="A259" s="34">
        <f>IF(C259="","",COUNTA($C$90:C259))</f>
        <v>22</v>
      </c>
      <c r="B259" s="31" t="s">
        <v>166</v>
      </c>
      <c r="C259" s="34">
        <v>1</v>
      </c>
      <c r="D259" s="29"/>
      <c r="E259" s="16">
        <f>+'[1]MEASUREMENT BREAK-UP'!DF259</f>
        <v>0</v>
      </c>
      <c r="F259" s="17"/>
      <c r="G259" s="35">
        <f t="shared" si="4"/>
        <v>0</v>
      </c>
    </row>
    <row r="260" spans="1:7" x14ac:dyDescent="0.25">
      <c r="A260" s="36" t="s">
        <v>24</v>
      </c>
      <c r="B260" s="31" t="s">
        <v>162</v>
      </c>
      <c r="C260" s="34"/>
      <c r="D260" s="29" t="s">
        <v>159</v>
      </c>
      <c r="E260" s="16" t="s">
        <v>17</v>
      </c>
      <c r="F260" s="17"/>
      <c r="G260" s="35">
        <f t="shared" si="4"/>
        <v>0</v>
      </c>
    </row>
    <row r="261" spans="1:7" x14ac:dyDescent="0.25">
      <c r="A261" s="36" t="s">
        <v>26</v>
      </c>
      <c r="B261" s="31" t="s">
        <v>163</v>
      </c>
      <c r="C261" s="34"/>
      <c r="D261" s="29" t="s">
        <v>159</v>
      </c>
      <c r="E261" s="16" t="s">
        <v>17</v>
      </c>
      <c r="F261" s="17"/>
      <c r="G261" s="35">
        <f t="shared" si="4"/>
        <v>0</v>
      </c>
    </row>
    <row r="262" spans="1:7" x14ac:dyDescent="0.25">
      <c r="A262" s="36" t="s">
        <v>28</v>
      </c>
      <c r="B262" s="31" t="s">
        <v>164</v>
      </c>
      <c r="C262" s="34"/>
      <c r="D262" s="29" t="s">
        <v>159</v>
      </c>
      <c r="E262" s="16" t="s">
        <v>17</v>
      </c>
      <c r="F262" s="17"/>
      <c r="G262" s="35">
        <f t="shared" si="4"/>
        <v>0</v>
      </c>
    </row>
    <row r="263" spans="1:7" x14ac:dyDescent="0.25">
      <c r="A263" s="36" t="s">
        <v>49</v>
      </c>
      <c r="B263" s="31" t="s">
        <v>167</v>
      </c>
      <c r="C263" s="34"/>
      <c r="D263" s="29" t="s">
        <v>159</v>
      </c>
      <c r="E263" s="16" t="s">
        <v>17</v>
      </c>
      <c r="F263" s="17"/>
      <c r="G263" s="35">
        <f t="shared" si="4"/>
        <v>0</v>
      </c>
    </row>
    <row r="264" spans="1:7" x14ac:dyDescent="0.25">
      <c r="A264" s="36" t="s">
        <v>67</v>
      </c>
      <c r="B264" s="31" t="s">
        <v>168</v>
      </c>
      <c r="C264" s="34"/>
      <c r="D264" s="29" t="s">
        <v>159</v>
      </c>
      <c r="E264" s="16" t="s">
        <v>17</v>
      </c>
      <c r="F264" s="17"/>
      <c r="G264" s="35">
        <f t="shared" si="4"/>
        <v>0</v>
      </c>
    </row>
    <row r="265" spans="1:7" x14ac:dyDescent="0.25">
      <c r="A265" s="36" t="str">
        <f>IF(C265="","",COUNTA($C$90:C265))</f>
        <v/>
      </c>
      <c r="B265" s="31"/>
      <c r="C265" s="34"/>
      <c r="D265" s="29"/>
      <c r="E265" s="16">
        <f>+'[1]MEASUREMENT BREAK-UP'!DF265</f>
        <v>0</v>
      </c>
      <c r="F265" s="17"/>
      <c r="G265" s="35">
        <f t="shared" si="4"/>
        <v>0</v>
      </c>
    </row>
    <row r="266" spans="1:7" ht="108.75" customHeight="1" x14ac:dyDescent="0.25">
      <c r="A266" s="34">
        <f>IF(C266="","",COUNTA($C$90:C266))</f>
        <v>23</v>
      </c>
      <c r="B266" s="31" t="s">
        <v>169</v>
      </c>
      <c r="C266" s="34">
        <v>1</v>
      </c>
      <c r="D266" s="29"/>
      <c r="E266" s="16">
        <f>+'[1]MEASUREMENT BREAK-UP'!DF266</f>
        <v>0</v>
      </c>
      <c r="F266" s="55"/>
      <c r="G266" s="35">
        <f t="shared" si="4"/>
        <v>0</v>
      </c>
    </row>
    <row r="267" spans="1:7" ht="25.5" x14ac:dyDescent="0.25">
      <c r="A267" s="36" t="s">
        <v>24</v>
      </c>
      <c r="B267" s="31" t="s">
        <v>170</v>
      </c>
      <c r="C267" s="34"/>
      <c r="D267" s="29" t="s">
        <v>159</v>
      </c>
      <c r="E267" s="16" t="s">
        <v>17</v>
      </c>
      <c r="F267" s="55"/>
      <c r="G267" s="35">
        <f t="shared" si="4"/>
        <v>0</v>
      </c>
    </row>
    <row r="268" spans="1:7" ht="25.5" x14ac:dyDescent="0.25">
      <c r="A268" s="36" t="s">
        <v>26</v>
      </c>
      <c r="B268" s="31" t="s">
        <v>171</v>
      </c>
      <c r="C268" s="34"/>
      <c r="D268" s="29" t="s">
        <v>159</v>
      </c>
      <c r="E268" s="16" t="s">
        <v>17</v>
      </c>
      <c r="F268" s="55"/>
      <c r="G268" s="35">
        <f t="shared" si="4"/>
        <v>0</v>
      </c>
    </row>
    <row r="269" spans="1:7" ht="25.5" x14ac:dyDescent="0.25">
      <c r="A269" s="36" t="s">
        <v>28</v>
      </c>
      <c r="B269" s="31" t="s">
        <v>172</v>
      </c>
      <c r="C269" s="34"/>
      <c r="D269" s="29" t="s">
        <v>159</v>
      </c>
      <c r="E269" s="16" t="s">
        <v>17</v>
      </c>
      <c r="F269" s="55"/>
      <c r="G269" s="35">
        <f t="shared" si="4"/>
        <v>0</v>
      </c>
    </row>
    <row r="270" spans="1:7" x14ac:dyDescent="0.25">
      <c r="A270" s="36" t="str" cm="1">
        <f t="array" ref="A270">_xlfn.IFS(B270="",IF(D270="",""),IF(D270="",1,""),COUNTA($D$91:D270))</f>
        <v/>
      </c>
      <c r="B270" s="31"/>
      <c r="C270" s="31"/>
      <c r="D270" s="29"/>
      <c r="E270" s="16">
        <f>+'[1]MEASUREMENT BREAK-UP'!DF270</f>
        <v>0</v>
      </c>
      <c r="F270" s="55"/>
      <c r="G270" s="35"/>
    </row>
    <row r="271" spans="1:7" ht="30.75" customHeight="1" x14ac:dyDescent="0.25">
      <c r="A271" s="39"/>
      <c r="B271" s="40" t="s">
        <v>173</v>
      </c>
      <c r="C271" s="39"/>
      <c r="D271" s="40"/>
      <c r="E271" s="41"/>
      <c r="F271" s="42"/>
      <c r="G271" s="43">
        <f>SUM(G94:G270)</f>
        <v>0</v>
      </c>
    </row>
    <row r="272" spans="1:7" x14ac:dyDescent="0.25">
      <c r="A272" s="50"/>
      <c r="B272" s="56"/>
      <c r="C272" s="31"/>
      <c r="D272" s="29"/>
      <c r="E272" s="16">
        <f>+'[1]MEASUREMENT BREAK-UP'!DF272</f>
        <v>0</v>
      </c>
      <c r="F272" s="55"/>
      <c r="G272" s="48"/>
    </row>
    <row r="273" spans="1:7" s="57" customFormat="1" x14ac:dyDescent="0.25">
      <c r="A273" s="39" t="s">
        <v>174</v>
      </c>
      <c r="B273" s="40" t="s">
        <v>175</v>
      </c>
      <c r="C273" s="49"/>
      <c r="D273" s="22"/>
      <c r="E273" s="16">
        <f>+'[1]MEASUREMENT BREAK-UP'!DF273</f>
        <v>0</v>
      </c>
      <c r="F273" s="22"/>
      <c r="G273" s="48"/>
    </row>
    <row r="274" spans="1:7" s="57" customFormat="1" ht="197.25" customHeight="1" x14ac:dyDescent="0.25">
      <c r="A274" s="34">
        <f>IF(C274="","",COUNTA($C$274:C274))</f>
        <v>1</v>
      </c>
      <c r="B274" s="31" t="s">
        <v>176</v>
      </c>
      <c r="C274" s="34">
        <v>1</v>
      </c>
      <c r="D274" s="29"/>
      <c r="E274" s="16">
        <f>+'[1]MEASUREMENT BREAK-UP'!DF274</f>
        <v>0</v>
      </c>
      <c r="F274" s="55"/>
      <c r="G274" s="58"/>
    </row>
    <row r="275" spans="1:7" s="57" customFormat="1" ht="27.75" customHeight="1" x14ac:dyDescent="0.25">
      <c r="A275" s="36" t="str">
        <f>IF(C275="","",COUNTA($C$274:C275))</f>
        <v/>
      </c>
      <c r="B275" s="31" t="s">
        <v>177</v>
      </c>
      <c r="C275" s="34"/>
      <c r="D275" s="29"/>
      <c r="E275" s="16">
        <f>+'[1]MEASUREMENT BREAK-UP'!DF275</f>
        <v>0</v>
      </c>
      <c r="F275" s="55"/>
      <c r="G275" s="58"/>
    </row>
    <row r="276" spans="1:7" s="57" customFormat="1" ht="25.5" x14ac:dyDescent="0.25">
      <c r="A276" s="36" t="str">
        <f>IF(C276="","",COUNTA($C$274:C276))</f>
        <v/>
      </c>
      <c r="B276" s="31" t="s">
        <v>178</v>
      </c>
      <c r="C276" s="34"/>
      <c r="D276" s="29"/>
      <c r="E276" s="16">
        <f>+'[1]MEASUREMENT BREAK-UP'!DF276</f>
        <v>0</v>
      </c>
      <c r="F276" s="55"/>
      <c r="G276" s="58"/>
    </row>
    <row r="277" spans="1:7" s="57" customFormat="1" x14ac:dyDescent="0.25">
      <c r="A277" s="36" t="s">
        <v>24</v>
      </c>
      <c r="B277" s="31" t="s">
        <v>152</v>
      </c>
      <c r="C277" s="34"/>
      <c r="D277" s="29" t="s">
        <v>63</v>
      </c>
      <c r="E277" s="16" t="s">
        <v>17</v>
      </c>
      <c r="F277" s="59"/>
      <c r="G277" s="58">
        <f t="shared" ref="G277:G333" si="6">IFERROR(E277*F277,0)</f>
        <v>0</v>
      </c>
    </row>
    <row r="278" spans="1:7" s="57" customFormat="1" x14ac:dyDescent="0.25">
      <c r="A278" s="36" t="s">
        <v>26</v>
      </c>
      <c r="B278" s="31" t="s">
        <v>153</v>
      </c>
      <c r="C278" s="34"/>
      <c r="D278" s="29" t="s">
        <v>63</v>
      </c>
      <c r="E278" s="16">
        <f>+'[1]MEASUREMENT BREAK-UP'!DF278</f>
        <v>37</v>
      </c>
      <c r="F278" s="59"/>
      <c r="G278" s="58">
        <f t="shared" si="6"/>
        <v>0</v>
      </c>
    </row>
    <row r="279" spans="1:7" s="57" customFormat="1" x14ac:dyDescent="0.25">
      <c r="A279" s="36" t="s">
        <v>28</v>
      </c>
      <c r="B279" s="31" t="s">
        <v>179</v>
      </c>
      <c r="C279" s="34"/>
      <c r="D279" s="29" t="s">
        <v>63</v>
      </c>
      <c r="E279" s="16" t="s">
        <v>17</v>
      </c>
      <c r="F279" s="55"/>
      <c r="G279" s="58">
        <f t="shared" si="6"/>
        <v>0</v>
      </c>
    </row>
    <row r="280" spans="1:7" s="57" customFormat="1" x14ac:dyDescent="0.25">
      <c r="A280" s="36" t="s">
        <v>49</v>
      </c>
      <c r="B280" s="31" t="s">
        <v>180</v>
      </c>
      <c r="C280" s="34"/>
      <c r="D280" s="29" t="s">
        <v>63</v>
      </c>
      <c r="E280" s="16">
        <f>+'[1]MEASUREMENT BREAK-UP'!DF280</f>
        <v>89</v>
      </c>
      <c r="F280" s="55"/>
      <c r="G280" s="58">
        <f t="shared" si="6"/>
        <v>0</v>
      </c>
    </row>
    <row r="281" spans="1:7" s="57" customFormat="1" x14ac:dyDescent="0.25">
      <c r="A281" s="36" t="s">
        <v>67</v>
      </c>
      <c r="B281" s="31" t="s">
        <v>181</v>
      </c>
      <c r="C281" s="34"/>
      <c r="D281" s="29" t="s">
        <v>63</v>
      </c>
      <c r="E281" s="16" t="s">
        <v>17</v>
      </c>
      <c r="F281" s="55"/>
      <c r="G281" s="58">
        <f t="shared" si="6"/>
        <v>0</v>
      </c>
    </row>
    <row r="282" spans="1:7" s="57" customFormat="1" x14ac:dyDescent="0.25">
      <c r="A282" s="36" t="s">
        <v>69</v>
      </c>
      <c r="B282" s="31" t="s">
        <v>182</v>
      </c>
      <c r="C282" s="34"/>
      <c r="D282" s="29" t="s">
        <v>63</v>
      </c>
      <c r="E282" s="16">
        <f>+'[1]MEASUREMENT BREAK-UP'!DF282</f>
        <v>32</v>
      </c>
      <c r="F282" s="55"/>
      <c r="G282" s="58">
        <f t="shared" si="6"/>
        <v>0</v>
      </c>
    </row>
    <row r="283" spans="1:7" s="57" customFormat="1" x14ac:dyDescent="0.25">
      <c r="A283" s="36" t="s">
        <v>72</v>
      </c>
      <c r="B283" s="31" t="s">
        <v>183</v>
      </c>
      <c r="C283" s="34"/>
      <c r="D283" s="29" t="s">
        <v>63</v>
      </c>
      <c r="E283" s="16" t="s">
        <v>17</v>
      </c>
      <c r="F283" s="55"/>
      <c r="G283" s="58">
        <f t="shared" si="6"/>
        <v>0</v>
      </c>
    </row>
    <row r="284" spans="1:7" s="57" customFormat="1" x14ac:dyDescent="0.25">
      <c r="A284" s="36" t="s">
        <v>74</v>
      </c>
      <c r="B284" s="31" t="s">
        <v>184</v>
      </c>
      <c r="C284" s="34"/>
      <c r="D284" s="29" t="s">
        <v>63</v>
      </c>
      <c r="E284" s="16" t="s">
        <v>17</v>
      </c>
      <c r="F284" s="55"/>
      <c r="G284" s="58">
        <f t="shared" si="6"/>
        <v>0</v>
      </c>
    </row>
    <row r="285" spans="1:7" s="57" customFormat="1" x14ac:dyDescent="0.25">
      <c r="A285" s="36"/>
      <c r="B285" s="31"/>
      <c r="C285" s="34"/>
      <c r="D285" s="29"/>
      <c r="E285" s="16"/>
      <c r="F285" s="55"/>
      <c r="G285" s="58"/>
    </row>
    <row r="286" spans="1:7" s="60" customFormat="1" ht="200.25" customHeight="1" x14ac:dyDescent="0.25">
      <c r="A286" s="34">
        <f>IF(C286="","",COUNTA($C$274:C286))</f>
        <v>2</v>
      </c>
      <c r="B286" s="31" t="s">
        <v>185</v>
      </c>
      <c r="C286" s="34">
        <v>1</v>
      </c>
      <c r="D286" s="29"/>
      <c r="E286" s="16">
        <f>+'[1]MEASUREMENT BREAK-UP'!DF286</f>
        <v>0</v>
      </c>
      <c r="F286" s="55"/>
      <c r="G286" s="58">
        <f t="shared" si="6"/>
        <v>0</v>
      </c>
    </row>
    <row r="287" spans="1:7" s="57" customFormat="1" ht="28.5" customHeight="1" x14ac:dyDescent="0.25">
      <c r="A287" s="36" t="str">
        <f>IF(C287="","",COUNTA($C$274:C287))</f>
        <v/>
      </c>
      <c r="B287" s="31" t="s">
        <v>177</v>
      </c>
      <c r="C287" s="34"/>
      <c r="D287" s="29"/>
      <c r="E287" s="16">
        <f>+'[1]MEASUREMENT BREAK-UP'!DF287</f>
        <v>0</v>
      </c>
      <c r="F287" s="55"/>
      <c r="G287" s="58">
        <f t="shared" si="6"/>
        <v>0</v>
      </c>
    </row>
    <row r="288" spans="1:7" s="57" customFormat="1" ht="28.5" customHeight="1" x14ac:dyDescent="0.25">
      <c r="A288" s="36" t="str">
        <f>IF(C288="","",COUNTA($C$274:C288))</f>
        <v/>
      </c>
      <c r="B288" s="31" t="s">
        <v>178</v>
      </c>
      <c r="C288" s="34"/>
      <c r="D288" s="29"/>
      <c r="E288" s="16">
        <f>+'[1]MEASUREMENT BREAK-UP'!DF288</f>
        <v>0</v>
      </c>
      <c r="F288" s="55"/>
      <c r="G288" s="58">
        <f t="shared" si="6"/>
        <v>0</v>
      </c>
    </row>
    <row r="289" spans="1:7" s="57" customFormat="1" x14ac:dyDescent="0.25">
      <c r="A289" s="36" t="s">
        <v>24</v>
      </c>
      <c r="B289" s="31" t="s">
        <v>150</v>
      </c>
      <c r="C289" s="34"/>
      <c r="D289" s="29" t="s">
        <v>63</v>
      </c>
      <c r="E289" s="16" t="s">
        <v>17</v>
      </c>
      <c r="F289" s="59"/>
      <c r="G289" s="58">
        <f t="shared" si="6"/>
        <v>0</v>
      </c>
    </row>
    <row r="290" spans="1:7" s="57" customFormat="1" x14ac:dyDescent="0.25">
      <c r="A290" s="36" t="s">
        <v>26</v>
      </c>
      <c r="B290" s="31" t="s">
        <v>151</v>
      </c>
      <c r="C290" s="34"/>
      <c r="D290" s="29" t="s">
        <v>63</v>
      </c>
      <c r="E290" s="16" t="s">
        <v>17</v>
      </c>
      <c r="F290" s="55"/>
      <c r="G290" s="58">
        <f t="shared" si="6"/>
        <v>0</v>
      </c>
    </row>
    <row r="291" spans="1:7" s="57" customFormat="1" x14ac:dyDescent="0.25">
      <c r="A291" s="36" t="s">
        <v>28</v>
      </c>
      <c r="B291" s="31" t="s">
        <v>152</v>
      </c>
      <c r="C291" s="34"/>
      <c r="D291" s="29" t="s">
        <v>63</v>
      </c>
      <c r="E291" s="16" t="s">
        <v>17</v>
      </c>
      <c r="F291" s="55"/>
      <c r="G291" s="58">
        <f t="shared" si="6"/>
        <v>0</v>
      </c>
    </row>
    <row r="292" spans="1:7" s="57" customFormat="1" x14ac:dyDescent="0.25">
      <c r="A292" s="36" t="s">
        <v>49</v>
      </c>
      <c r="B292" s="31" t="s">
        <v>153</v>
      </c>
      <c r="C292" s="34"/>
      <c r="D292" s="29" t="s">
        <v>63</v>
      </c>
      <c r="E292" s="16">
        <f>+'[1]MEASUREMENT BREAK-UP'!DF292</f>
        <v>2268</v>
      </c>
      <c r="F292" s="59"/>
      <c r="G292" s="58">
        <f t="shared" si="6"/>
        <v>0</v>
      </c>
    </row>
    <row r="293" spans="1:7" s="57" customFormat="1" x14ac:dyDescent="0.25">
      <c r="A293" s="36" t="s">
        <v>67</v>
      </c>
      <c r="B293" s="31" t="s">
        <v>179</v>
      </c>
      <c r="C293" s="34"/>
      <c r="D293" s="29" t="s">
        <v>63</v>
      </c>
      <c r="E293" s="16">
        <f>+'[1]MEASUREMENT BREAK-UP'!DF293</f>
        <v>3067</v>
      </c>
      <c r="F293" s="55"/>
      <c r="G293" s="58">
        <f t="shared" si="6"/>
        <v>0</v>
      </c>
    </row>
    <row r="294" spans="1:7" s="57" customFormat="1" x14ac:dyDescent="0.25">
      <c r="A294" s="36" t="s">
        <v>69</v>
      </c>
      <c r="B294" s="31" t="s">
        <v>186</v>
      </c>
      <c r="C294" s="34"/>
      <c r="D294" s="29" t="s">
        <v>63</v>
      </c>
      <c r="E294" s="16" t="s">
        <v>17</v>
      </c>
      <c r="F294" s="55"/>
      <c r="G294" s="58">
        <f t="shared" si="6"/>
        <v>0</v>
      </c>
    </row>
    <row r="295" spans="1:7" s="57" customFormat="1" x14ac:dyDescent="0.25">
      <c r="A295" s="36" t="s">
        <v>72</v>
      </c>
      <c r="B295" s="31" t="s">
        <v>180</v>
      </c>
      <c r="C295" s="34"/>
      <c r="D295" s="29" t="s">
        <v>63</v>
      </c>
      <c r="E295" s="16">
        <f>+'[1]MEASUREMENT BREAK-UP'!DF295</f>
        <v>4890</v>
      </c>
      <c r="F295" s="55"/>
      <c r="G295" s="58">
        <f t="shared" si="6"/>
        <v>0</v>
      </c>
    </row>
    <row r="296" spans="1:7" s="57" customFormat="1" x14ac:dyDescent="0.25">
      <c r="A296" s="36" t="s">
        <v>74</v>
      </c>
      <c r="B296" s="31" t="s">
        <v>181</v>
      </c>
      <c r="C296" s="34"/>
      <c r="D296" s="29" t="s">
        <v>63</v>
      </c>
      <c r="E296" s="16">
        <f>+'[1]MEASUREMENT BREAK-UP'!DF296</f>
        <v>3669</v>
      </c>
      <c r="F296" s="55"/>
      <c r="G296" s="58">
        <f t="shared" si="6"/>
        <v>0</v>
      </c>
    </row>
    <row r="297" spans="1:7" s="57" customFormat="1" x14ac:dyDescent="0.25">
      <c r="A297" s="36" t="s">
        <v>76</v>
      </c>
      <c r="B297" s="31" t="s">
        <v>182</v>
      </c>
      <c r="C297" s="34"/>
      <c r="D297" s="29" t="s">
        <v>63</v>
      </c>
      <c r="E297" s="16" t="s">
        <v>17</v>
      </c>
      <c r="F297" s="55"/>
      <c r="G297" s="58">
        <f t="shared" si="6"/>
        <v>0</v>
      </c>
    </row>
    <row r="298" spans="1:7" s="57" customFormat="1" x14ac:dyDescent="0.25">
      <c r="A298" s="36" t="s">
        <v>78</v>
      </c>
      <c r="B298" s="31" t="s">
        <v>187</v>
      </c>
      <c r="C298" s="34"/>
      <c r="D298" s="29" t="s">
        <v>63</v>
      </c>
      <c r="E298" s="16" t="s">
        <v>17</v>
      </c>
      <c r="F298" s="55"/>
      <c r="G298" s="58">
        <f t="shared" si="6"/>
        <v>0</v>
      </c>
    </row>
    <row r="299" spans="1:7" s="57" customFormat="1" x14ac:dyDescent="0.25">
      <c r="A299" s="36" t="s">
        <v>188</v>
      </c>
      <c r="B299" s="31" t="s">
        <v>184</v>
      </c>
      <c r="C299" s="34"/>
      <c r="D299" s="29" t="s">
        <v>63</v>
      </c>
      <c r="E299" s="16" t="s">
        <v>17</v>
      </c>
      <c r="F299" s="55"/>
      <c r="G299" s="58">
        <f t="shared" si="6"/>
        <v>0</v>
      </c>
    </row>
    <row r="300" spans="1:7" s="57" customFormat="1" x14ac:dyDescent="0.25">
      <c r="A300" s="36"/>
      <c r="B300" s="31"/>
      <c r="C300" s="34"/>
      <c r="D300" s="29"/>
      <c r="E300" s="16">
        <f>+'[1]MEASUREMENT BREAK-UP'!DF300</f>
        <v>0</v>
      </c>
      <c r="F300" s="55"/>
      <c r="G300" s="58">
        <f t="shared" si="6"/>
        <v>0</v>
      </c>
    </row>
    <row r="301" spans="1:7" s="57" customFormat="1" ht="84" customHeight="1" x14ac:dyDescent="0.25">
      <c r="A301" s="34">
        <f>IF(C301="","",COUNTA($C$274:C301))</f>
        <v>3</v>
      </c>
      <c r="B301" s="31" t="s">
        <v>189</v>
      </c>
      <c r="C301" s="34">
        <v>1</v>
      </c>
      <c r="D301" s="29"/>
      <c r="E301" s="16">
        <f>+'[1]MEASUREMENT BREAK-UP'!DF301</f>
        <v>0</v>
      </c>
      <c r="F301" s="55"/>
      <c r="G301" s="58">
        <f t="shared" si="6"/>
        <v>0</v>
      </c>
    </row>
    <row r="302" spans="1:7" s="57" customFormat="1" x14ac:dyDescent="0.25">
      <c r="A302" s="61" t="s">
        <v>24</v>
      </c>
      <c r="B302" s="31" t="s">
        <v>190</v>
      </c>
      <c r="C302" s="34"/>
      <c r="D302" s="29" t="s">
        <v>11</v>
      </c>
      <c r="E302" s="16">
        <f>+'[1]MEASUREMENT BREAK-UP'!DF302</f>
        <v>51</v>
      </c>
      <c r="F302" s="55"/>
      <c r="G302" s="58">
        <f t="shared" si="6"/>
        <v>0</v>
      </c>
    </row>
    <row r="303" spans="1:7" s="57" customFormat="1" x14ac:dyDescent="0.25">
      <c r="A303" s="61" t="s">
        <v>26</v>
      </c>
      <c r="B303" s="31" t="s">
        <v>191</v>
      </c>
      <c r="C303" s="34"/>
      <c r="D303" s="29" t="s">
        <v>11</v>
      </c>
      <c r="E303" s="16" t="s">
        <v>17</v>
      </c>
      <c r="F303" s="55"/>
      <c r="G303" s="58">
        <f t="shared" si="6"/>
        <v>0</v>
      </c>
    </row>
    <row r="304" spans="1:7" s="57" customFormat="1" x14ac:dyDescent="0.25">
      <c r="A304" s="61" t="s">
        <v>28</v>
      </c>
      <c r="B304" s="31" t="s">
        <v>192</v>
      </c>
      <c r="C304" s="34"/>
      <c r="D304" s="29" t="s">
        <v>11</v>
      </c>
      <c r="E304" s="16">
        <f>+'[1]MEASUREMENT BREAK-UP'!DF304</f>
        <v>1038</v>
      </c>
      <c r="F304" s="55"/>
      <c r="G304" s="58">
        <f t="shared" si="6"/>
        <v>0</v>
      </c>
    </row>
    <row r="305" spans="1:7" s="57" customFormat="1" x14ac:dyDescent="0.25">
      <c r="A305" s="36" t="str">
        <f>IF(C305="","",COUNTA($C$274:C305))</f>
        <v/>
      </c>
      <c r="B305" s="31"/>
      <c r="C305" s="34"/>
      <c r="D305" s="29"/>
      <c r="E305" s="16">
        <f>+'[1]MEASUREMENT BREAK-UP'!DF305</f>
        <v>0</v>
      </c>
      <c r="F305" s="55"/>
      <c r="G305" s="58">
        <f t="shared" si="6"/>
        <v>0</v>
      </c>
    </row>
    <row r="306" spans="1:7" s="57" customFormat="1" ht="59.25" customHeight="1" x14ac:dyDescent="0.25">
      <c r="A306" s="34">
        <f>IF(C306="","",COUNTA($C$274:C306))</f>
        <v>4</v>
      </c>
      <c r="B306" s="31" t="s">
        <v>193</v>
      </c>
      <c r="C306" s="34">
        <v>1</v>
      </c>
      <c r="D306" s="29" t="s">
        <v>11</v>
      </c>
      <c r="E306" s="16">
        <f>+'[1]MEASUREMENT BREAK-UP'!DF306</f>
        <v>979</v>
      </c>
      <c r="F306" s="55"/>
      <c r="G306" s="58">
        <f t="shared" si="6"/>
        <v>0</v>
      </c>
    </row>
    <row r="307" spans="1:7" s="57" customFormat="1" x14ac:dyDescent="0.25">
      <c r="A307" s="34" t="str">
        <f>IF(C307="","",COUNTA($C$274:C307))</f>
        <v/>
      </c>
      <c r="B307" s="31"/>
      <c r="C307" s="34"/>
      <c r="D307" s="29"/>
      <c r="E307" s="16">
        <f>+'[1]MEASUREMENT BREAK-UP'!DF307</f>
        <v>0</v>
      </c>
      <c r="F307" s="55"/>
      <c r="G307" s="58">
        <f t="shared" si="6"/>
        <v>0</v>
      </c>
    </row>
    <row r="308" spans="1:7" s="57" customFormat="1" ht="111.75" customHeight="1" x14ac:dyDescent="0.25">
      <c r="A308" s="34">
        <f>IF(C308="","",COUNTA($C$274:C308))</f>
        <v>5</v>
      </c>
      <c r="B308" s="31" t="s">
        <v>194</v>
      </c>
      <c r="C308" s="34">
        <v>1</v>
      </c>
      <c r="D308" s="29" t="s">
        <v>11</v>
      </c>
      <c r="E308" s="16">
        <f>+'[1]MEASUREMENT BREAK-UP'!DF308</f>
        <v>2</v>
      </c>
      <c r="F308" s="55"/>
      <c r="G308" s="58">
        <f t="shared" si="6"/>
        <v>0</v>
      </c>
    </row>
    <row r="309" spans="1:7" s="57" customFormat="1" x14ac:dyDescent="0.25">
      <c r="A309" s="36"/>
      <c r="B309" s="31"/>
      <c r="C309" s="34"/>
      <c r="D309" s="29"/>
      <c r="E309" s="16">
        <f>+'[1]MEASUREMENT BREAK-UP'!DF309</f>
        <v>0</v>
      </c>
      <c r="F309" s="55"/>
      <c r="G309" s="58"/>
    </row>
    <row r="310" spans="1:7" s="57" customFormat="1" x14ac:dyDescent="0.25">
      <c r="A310" s="34">
        <f>IF(C310="","",COUNTA($C$274:C310))</f>
        <v>6</v>
      </c>
      <c r="B310" s="31" t="s">
        <v>195</v>
      </c>
      <c r="C310" s="34">
        <v>1</v>
      </c>
      <c r="D310" s="29" t="s">
        <v>11</v>
      </c>
      <c r="E310" s="16">
        <f>+'[1]MEASUREMENT BREAK-UP'!DF310</f>
        <v>0</v>
      </c>
      <c r="F310" s="55"/>
      <c r="G310" s="58"/>
    </row>
    <row r="311" spans="1:7" s="57" customFormat="1" x14ac:dyDescent="0.25">
      <c r="A311" s="36"/>
      <c r="B311" s="31"/>
      <c r="C311" s="34"/>
      <c r="D311" s="29"/>
      <c r="E311" s="16">
        <f>+'[1]MEASUREMENT BREAK-UP'!DF311</f>
        <v>0</v>
      </c>
      <c r="F311" s="55"/>
      <c r="G311" s="58"/>
    </row>
    <row r="312" spans="1:7" s="57" customFormat="1" ht="27.75" customHeight="1" x14ac:dyDescent="0.25">
      <c r="A312" s="34">
        <f>IF(C312="","",COUNTA($C$274:C312))</f>
        <v>7</v>
      </c>
      <c r="B312" s="31" t="s">
        <v>196</v>
      </c>
      <c r="C312" s="34">
        <v>1</v>
      </c>
      <c r="D312" s="29"/>
      <c r="E312" s="16">
        <f>+'[1]MEASUREMENT BREAK-UP'!DF312</f>
        <v>0</v>
      </c>
      <c r="F312" s="55"/>
      <c r="G312" s="58">
        <f t="shared" ref="G312:G322" si="7">IFERROR(E312*F312,0)</f>
        <v>0</v>
      </c>
    </row>
    <row r="313" spans="1:7" s="57" customFormat="1" x14ac:dyDescent="0.25">
      <c r="A313" s="36" t="s">
        <v>24</v>
      </c>
      <c r="B313" s="31" t="s">
        <v>197</v>
      </c>
      <c r="C313" s="34"/>
      <c r="D313" s="29" t="s">
        <v>11</v>
      </c>
      <c r="E313" s="16" t="s">
        <v>17</v>
      </c>
      <c r="F313" s="55"/>
      <c r="G313" s="58">
        <f t="shared" si="7"/>
        <v>0</v>
      </c>
    </row>
    <row r="314" spans="1:7" s="57" customFormat="1" x14ac:dyDescent="0.25">
      <c r="A314" s="36" t="s">
        <v>26</v>
      </c>
      <c r="B314" s="31" t="s">
        <v>198</v>
      </c>
      <c r="C314" s="34"/>
      <c r="D314" s="29" t="s">
        <v>11</v>
      </c>
      <c r="E314" s="16">
        <f>+'[1]MEASUREMENT BREAK-UP'!DF314</f>
        <v>13</v>
      </c>
      <c r="F314" s="55"/>
      <c r="G314" s="58">
        <f t="shared" si="7"/>
        <v>0</v>
      </c>
    </row>
    <row r="315" spans="1:7" s="57" customFormat="1" x14ac:dyDescent="0.25">
      <c r="A315" s="36" t="s">
        <v>28</v>
      </c>
      <c r="B315" s="31" t="s">
        <v>136</v>
      </c>
      <c r="C315" s="34"/>
      <c r="D315" s="29" t="s">
        <v>11</v>
      </c>
      <c r="E315" s="16">
        <f>+'[1]MEASUREMENT BREAK-UP'!DF315</f>
        <v>44</v>
      </c>
      <c r="F315" s="55"/>
      <c r="G315" s="58">
        <f t="shared" si="7"/>
        <v>0</v>
      </c>
    </row>
    <row r="316" spans="1:7" s="57" customFormat="1" x14ac:dyDescent="0.25">
      <c r="A316" s="36" t="s">
        <v>49</v>
      </c>
      <c r="B316" s="31" t="s">
        <v>137</v>
      </c>
      <c r="C316" s="34"/>
      <c r="D316" s="29" t="s">
        <v>11</v>
      </c>
      <c r="E316" s="16" t="s">
        <v>17</v>
      </c>
      <c r="F316" s="55"/>
      <c r="G316" s="58">
        <f t="shared" si="7"/>
        <v>0</v>
      </c>
    </row>
    <row r="317" spans="1:7" s="57" customFormat="1" x14ac:dyDescent="0.25">
      <c r="A317" s="36" t="str">
        <f>IF(C317="","",COUNTA($C$274:C317))</f>
        <v/>
      </c>
      <c r="B317" s="31"/>
      <c r="C317" s="34"/>
      <c r="D317" s="29"/>
      <c r="E317" s="16">
        <f>+'[1]MEASUREMENT BREAK-UP'!DF317</f>
        <v>0</v>
      </c>
      <c r="F317" s="55"/>
      <c r="G317" s="58">
        <f t="shared" si="7"/>
        <v>0</v>
      </c>
    </row>
    <row r="318" spans="1:7" s="57" customFormat="1" ht="28.5" customHeight="1" x14ac:dyDescent="0.25">
      <c r="A318" s="34">
        <f>IF(C318="","",COUNTA($C$274:C318))</f>
        <v>8</v>
      </c>
      <c r="B318" s="31" t="s">
        <v>199</v>
      </c>
      <c r="C318" s="34">
        <v>1</v>
      </c>
      <c r="D318" s="29"/>
      <c r="E318" s="16">
        <f>+'[1]MEASUREMENT BREAK-UP'!DF318</f>
        <v>0</v>
      </c>
      <c r="F318" s="55"/>
      <c r="G318" s="58">
        <f t="shared" si="7"/>
        <v>0</v>
      </c>
    </row>
    <row r="319" spans="1:7" s="57" customFormat="1" x14ac:dyDescent="0.25">
      <c r="A319" s="36" t="s">
        <v>24</v>
      </c>
      <c r="B319" s="31" t="s">
        <v>197</v>
      </c>
      <c r="C319" s="34"/>
      <c r="D319" s="29" t="s">
        <v>11</v>
      </c>
      <c r="E319" s="16" t="s">
        <v>17</v>
      </c>
      <c r="F319" s="55"/>
      <c r="G319" s="58">
        <f t="shared" si="7"/>
        <v>0</v>
      </c>
    </row>
    <row r="320" spans="1:7" s="57" customFormat="1" x14ac:dyDescent="0.25">
      <c r="A320" s="36" t="s">
        <v>26</v>
      </c>
      <c r="B320" s="31" t="s">
        <v>198</v>
      </c>
      <c r="C320" s="34"/>
      <c r="D320" s="29" t="s">
        <v>11</v>
      </c>
      <c r="E320" s="16" t="s">
        <v>17</v>
      </c>
      <c r="F320" s="55"/>
      <c r="G320" s="58">
        <f t="shared" si="7"/>
        <v>0</v>
      </c>
    </row>
    <row r="321" spans="1:7" s="57" customFormat="1" x14ac:dyDescent="0.25">
      <c r="A321" s="36" t="s">
        <v>28</v>
      </c>
      <c r="B321" s="31" t="s">
        <v>136</v>
      </c>
      <c r="C321" s="34"/>
      <c r="D321" s="29" t="s">
        <v>11</v>
      </c>
      <c r="E321" s="16" t="s">
        <v>17</v>
      </c>
      <c r="F321" s="55"/>
      <c r="G321" s="58">
        <f t="shared" si="7"/>
        <v>0</v>
      </c>
    </row>
    <row r="322" spans="1:7" s="57" customFormat="1" x14ac:dyDescent="0.25">
      <c r="A322" s="36" t="s">
        <v>49</v>
      </c>
      <c r="B322" s="31" t="s">
        <v>137</v>
      </c>
      <c r="C322" s="34"/>
      <c r="D322" s="29" t="s">
        <v>11</v>
      </c>
      <c r="E322" s="16" t="s">
        <v>17</v>
      </c>
      <c r="F322" s="55"/>
      <c r="G322" s="58">
        <f t="shared" si="7"/>
        <v>0</v>
      </c>
    </row>
    <row r="323" spans="1:7" s="57" customFormat="1" x14ac:dyDescent="0.25">
      <c r="A323" s="62"/>
      <c r="B323" s="63"/>
      <c r="C323" s="64"/>
      <c r="D323" s="65"/>
      <c r="E323" s="16">
        <f>+'[1]MEASUREMENT BREAK-UP'!DF323</f>
        <v>0</v>
      </c>
      <c r="F323" s="55"/>
      <c r="G323" s="58"/>
    </row>
    <row r="324" spans="1:7" s="57" customFormat="1" ht="216" customHeight="1" x14ac:dyDescent="0.25">
      <c r="A324" s="34">
        <f>IF(C324="","",COUNTA($C$274:C324))</f>
        <v>9</v>
      </c>
      <c r="B324" s="31" t="s">
        <v>200</v>
      </c>
      <c r="C324" s="34">
        <v>1</v>
      </c>
      <c r="D324" s="29"/>
      <c r="E324" s="16">
        <f>+'[1]MEASUREMENT BREAK-UP'!DF324</f>
        <v>0</v>
      </c>
      <c r="F324" s="55"/>
      <c r="G324" s="58">
        <f t="shared" si="6"/>
        <v>0</v>
      </c>
    </row>
    <row r="325" spans="1:7" s="57" customFormat="1" x14ac:dyDescent="0.25">
      <c r="A325" s="36" t="s">
        <v>24</v>
      </c>
      <c r="B325" s="31" t="s">
        <v>201</v>
      </c>
      <c r="C325" s="34"/>
      <c r="D325" s="29" t="s">
        <v>63</v>
      </c>
      <c r="E325" s="16">
        <f>+'[1]MEASUREMENT BREAK-UP'!DF325</f>
        <v>0</v>
      </c>
      <c r="F325" s="55"/>
      <c r="G325" s="58">
        <f t="shared" si="6"/>
        <v>0</v>
      </c>
    </row>
    <row r="326" spans="1:7" s="57" customFormat="1" x14ac:dyDescent="0.25">
      <c r="A326" s="36" t="s">
        <v>26</v>
      </c>
      <c r="B326" s="31" t="s">
        <v>202</v>
      </c>
      <c r="C326" s="34"/>
      <c r="D326" s="29" t="s">
        <v>63</v>
      </c>
      <c r="E326" s="16">
        <f>+'[1]MEASUREMENT BREAK-UP'!DF326</f>
        <v>0</v>
      </c>
      <c r="F326" s="55"/>
      <c r="G326" s="58">
        <f t="shared" si="6"/>
        <v>0</v>
      </c>
    </row>
    <row r="327" spans="1:7" s="57" customFormat="1" x14ac:dyDescent="0.25">
      <c r="A327" s="36" t="s">
        <v>28</v>
      </c>
      <c r="B327" s="31" t="s">
        <v>203</v>
      </c>
      <c r="C327" s="34"/>
      <c r="D327" s="29" t="s">
        <v>63</v>
      </c>
      <c r="E327" s="16">
        <f>+'[1]MEASUREMENT BREAK-UP'!DF327</f>
        <v>0</v>
      </c>
      <c r="F327" s="55"/>
      <c r="G327" s="58">
        <f t="shared" si="6"/>
        <v>0</v>
      </c>
    </row>
    <row r="328" spans="1:7" s="57" customFormat="1" x14ac:dyDescent="0.25">
      <c r="A328" s="36" t="s">
        <v>49</v>
      </c>
      <c r="B328" s="31" t="s">
        <v>204</v>
      </c>
      <c r="C328" s="34"/>
      <c r="D328" s="29" t="s">
        <v>63</v>
      </c>
      <c r="E328" s="16">
        <f>+'[1]MEASUREMENT BREAK-UP'!DF328</f>
        <v>0</v>
      </c>
      <c r="F328" s="55"/>
      <c r="G328" s="58">
        <f t="shared" si="6"/>
        <v>0</v>
      </c>
    </row>
    <row r="329" spans="1:7" s="57" customFormat="1" x14ac:dyDescent="0.25">
      <c r="A329" s="36" t="s">
        <v>67</v>
      </c>
      <c r="B329" s="31" t="s">
        <v>205</v>
      </c>
      <c r="C329" s="34"/>
      <c r="D329" s="29" t="s">
        <v>63</v>
      </c>
      <c r="E329" s="16">
        <f>+'[1]MEASUREMENT BREAK-UP'!DF329</f>
        <v>0</v>
      </c>
      <c r="F329" s="55"/>
      <c r="G329" s="58">
        <f t="shared" si="6"/>
        <v>0</v>
      </c>
    </row>
    <row r="330" spans="1:7" s="57" customFormat="1" x14ac:dyDescent="0.25">
      <c r="A330" s="36" t="s">
        <v>69</v>
      </c>
      <c r="B330" s="31" t="s">
        <v>206</v>
      </c>
      <c r="C330" s="34"/>
      <c r="D330" s="29" t="s">
        <v>63</v>
      </c>
      <c r="E330" s="16">
        <f>+'[1]MEASUREMENT BREAK-UP'!DF330</f>
        <v>0</v>
      </c>
      <c r="F330" s="55"/>
      <c r="G330" s="58">
        <f t="shared" si="6"/>
        <v>0</v>
      </c>
    </row>
    <row r="331" spans="1:7" s="57" customFormat="1" x14ac:dyDescent="0.25">
      <c r="A331" s="36" t="s">
        <v>72</v>
      </c>
      <c r="B331" s="31" t="s">
        <v>207</v>
      </c>
      <c r="C331" s="34"/>
      <c r="D331" s="29" t="s">
        <v>63</v>
      </c>
      <c r="E331" s="16">
        <f>+'[1]MEASUREMENT BREAK-UP'!DF331</f>
        <v>0</v>
      </c>
      <c r="F331" s="55"/>
      <c r="G331" s="58">
        <f t="shared" si="6"/>
        <v>0</v>
      </c>
    </row>
    <row r="332" spans="1:7" s="57" customFormat="1" x14ac:dyDescent="0.25">
      <c r="A332" s="36" t="s">
        <v>74</v>
      </c>
      <c r="B332" s="31" t="s">
        <v>208</v>
      </c>
      <c r="C332" s="34"/>
      <c r="D332" s="29" t="s">
        <v>63</v>
      </c>
      <c r="E332" s="16">
        <f>+'[1]MEASUREMENT BREAK-UP'!DF332</f>
        <v>0</v>
      </c>
      <c r="F332" s="55"/>
      <c r="G332" s="58">
        <f t="shared" si="6"/>
        <v>0</v>
      </c>
    </row>
    <row r="333" spans="1:7" s="57" customFormat="1" x14ac:dyDescent="0.25">
      <c r="A333" s="36" t="str">
        <f>IF(C333="","",COUNTA($C$274:C333))</f>
        <v/>
      </c>
      <c r="B333" s="31"/>
      <c r="C333" s="34"/>
      <c r="D333" s="29"/>
      <c r="E333" s="16">
        <f>+'[1]MEASUREMENT BREAK-UP'!DF333</f>
        <v>0</v>
      </c>
      <c r="F333" s="55"/>
      <c r="G333" s="58">
        <f t="shared" si="6"/>
        <v>0</v>
      </c>
    </row>
    <row r="334" spans="1:7" s="57" customFormat="1" ht="93" customHeight="1" x14ac:dyDescent="0.25">
      <c r="A334" s="34">
        <f>IF(C334="","",COUNTA($C$274:C334))</f>
        <v>10</v>
      </c>
      <c r="B334" s="31" t="s">
        <v>209</v>
      </c>
      <c r="C334" s="53">
        <v>1</v>
      </c>
      <c r="D334" s="54"/>
      <c r="E334" s="16">
        <f>+'[1]MEASUREMENT BREAK-UP'!DF334</f>
        <v>0</v>
      </c>
      <c r="F334" s="55"/>
      <c r="G334" s="66">
        <f>IFERROR(E334*F334,0)</f>
        <v>0</v>
      </c>
    </row>
    <row r="335" spans="1:7" s="57" customFormat="1" x14ac:dyDescent="0.25">
      <c r="A335" s="61" t="s">
        <v>24</v>
      </c>
      <c r="B335" s="31" t="s">
        <v>210</v>
      </c>
      <c r="C335" s="34"/>
      <c r="D335" s="29" t="s">
        <v>11</v>
      </c>
      <c r="E335" s="16">
        <f>+'[1]MEASUREMENT BREAK-UP'!DF335</f>
        <v>0</v>
      </c>
      <c r="F335" s="55"/>
      <c r="G335" s="58">
        <f>IFERROR(E335*F335,0)</f>
        <v>0</v>
      </c>
    </row>
    <row r="336" spans="1:7" s="57" customFormat="1" x14ac:dyDescent="0.25">
      <c r="A336" s="61" t="s">
        <v>26</v>
      </c>
      <c r="B336" s="31" t="s">
        <v>211</v>
      </c>
      <c r="C336" s="34"/>
      <c r="D336" s="29" t="s">
        <v>11</v>
      </c>
      <c r="E336" s="16">
        <f>+'[1]MEASUREMENT BREAK-UP'!DF336</f>
        <v>0</v>
      </c>
      <c r="F336" s="55"/>
      <c r="G336" s="58"/>
    </row>
    <row r="337" spans="1:7" s="57" customFormat="1" x14ac:dyDescent="0.25">
      <c r="A337" s="61" t="s">
        <v>28</v>
      </c>
      <c r="B337" s="31" t="s">
        <v>212</v>
      </c>
      <c r="C337" s="34"/>
      <c r="D337" s="29" t="s">
        <v>11</v>
      </c>
      <c r="E337" s="16">
        <f>+'[1]MEASUREMENT BREAK-UP'!DF337</f>
        <v>0</v>
      </c>
      <c r="F337" s="55"/>
      <c r="G337" s="58">
        <f>IFERROR(E337*F337,0)</f>
        <v>0</v>
      </c>
    </row>
    <row r="338" spans="1:7" s="57" customFormat="1" x14ac:dyDescent="0.25">
      <c r="A338" s="36" t="str">
        <f>IF(C338="","",COUNTA($C$274:C338))</f>
        <v/>
      </c>
      <c r="B338" s="31"/>
      <c r="C338" s="34"/>
      <c r="D338" s="29"/>
      <c r="E338" s="16">
        <f>+'[1]MEASUREMENT BREAK-UP'!DF338</f>
        <v>0</v>
      </c>
      <c r="F338" s="55"/>
      <c r="G338" s="58">
        <f>IFERROR(E338*F338,0)</f>
        <v>0</v>
      </c>
    </row>
    <row r="339" spans="1:7" s="57" customFormat="1" ht="54" customHeight="1" x14ac:dyDescent="0.25">
      <c r="A339" s="34">
        <f>IF(C339="","",COUNTA($C$274:C339))</f>
        <v>11</v>
      </c>
      <c r="B339" s="31" t="s">
        <v>213</v>
      </c>
      <c r="C339" s="34">
        <v>1</v>
      </c>
      <c r="D339" s="29" t="s">
        <v>11</v>
      </c>
      <c r="E339" s="16">
        <f>+'[1]MEASUREMENT BREAK-UP'!DF339</f>
        <v>0</v>
      </c>
      <c r="F339" s="55"/>
      <c r="G339" s="58">
        <f>IFERROR(E339*F339,0)</f>
        <v>0</v>
      </c>
    </row>
    <row r="340" spans="1:7" s="57" customFormat="1" ht="11.25" customHeight="1" x14ac:dyDescent="0.25">
      <c r="A340" s="62"/>
      <c r="B340" s="63"/>
      <c r="C340" s="64"/>
      <c r="D340" s="65"/>
      <c r="E340" s="16">
        <f>+'[1]MEASUREMENT BREAK-UP'!DF340</f>
        <v>0</v>
      </c>
      <c r="F340" s="55"/>
      <c r="G340" s="58"/>
    </row>
    <row r="341" spans="1:7" s="57" customFormat="1" ht="96.75" customHeight="1" x14ac:dyDescent="0.25">
      <c r="A341" s="34">
        <f>IF(C341="","",COUNTA($C$274:C341))</f>
        <v>12</v>
      </c>
      <c r="B341" s="31" t="s">
        <v>214</v>
      </c>
      <c r="C341" s="34">
        <v>1</v>
      </c>
      <c r="D341" s="29"/>
      <c r="E341" s="16">
        <f>+'[1]MEASUREMENT BREAK-UP'!DF341</f>
        <v>0</v>
      </c>
      <c r="F341" s="55"/>
      <c r="G341" s="58">
        <f t="shared" ref="G341:G404" si="8">IFERROR(E341*F341,0)</f>
        <v>0</v>
      </c>
    </row>
    <row r="342" spans="1:7" s="57" customFormat="1" ht="18.75" customHeight="1" x14ac:dyDescent="0.25">
      <c r="A342" s="36"/>
      <c r="B342" s="31" t="s">
        <v>215</v>
      </c>
      <c r="C342" s="34"/>
      <c r="D342" s="29"/>
      <c r="E342" s="16">
        <f>+'[1]MEASUREMENT BREAK-UP'!DF342</f>
        <v>0</v>
      </c>
      <c r="F342" s="55"/>
      <c r="G342" s="58">
        <f t="shared" si="8"/>
        <v>0</v>
      </c>
    </row>
    <row r="343" spans="1:7" s="57" customFormat="1" ht="18.75" customHeight="1" x14ac:dyDescent="0.25">
      <c r="A343" s="36" t="s">
        <v>24</v>
      </c>
      <c r="B343" s="31" t="s">
        <v>155</v>
      </c>
      <c r="C343" s="34"/>
      <c r="D343" s="29" t="s">
        <v>63</v>
      </c>
      <c r="E343" s="16">
        <f>+'[1]MEASUREMENT BREAK-UP'!DF343</f>
        <v>0</v>
      </c>
      <c r="F343" s="55"/>
      <c r="G343" s="58">
        <f t="shared" si="8"/>
        <v>0</v>
      </c>
    </row>
    <row r="344" spans="1:7" s="57" customFormat="1" ht="16.5" customHeight="1" x14ac:dyDescent="0.25">
      <c r="A344" s="36" t="s">
        <v>26</v>
      </c>
      <c r="B344" s="31" t="s">
        <v>216</v>
      </c>
      <c r="C344" s="34"/>
      <c r="D344" s="29" t="s">
        <v>63</v>
      </c>
      <c r="E344" s="16">
        <f>+'[1]MEASUREMENT BREAK-UP'!DF344</f>
        <v>0</v>
      </c>
      <c r="F344" s="55"/>
      <c r="G344" s="58">
        <f t="shared" si="8"/>
        <v>0</v>
      </c>
    </row>
    <row r="345" spans="1:7" s="57" customFormat="1" x14ac:dyDescent="0.25">
      <c r="A345" s="36" t="s">
        <v>28</v>
      </c>
      <c r="B345" s="31" t="s">
        <v>133</v>
      </c>
      <c r="C345" s="34"/>
      <c r="D345" s="29" t="s">
        <v>63</v>
      </c>
      <c r="E345" s="16">
        <f>+'[1]MEASUREMENT BREAK-UP'!DF345</f>
        <v>0</v>
      </c>
      <c r="F345" s="55"/>
      <c r="G345" s="58">
        <f t="shared" si="8"/>
        <v>0</v>
      </c>
    </row>
    <row r="346" spans="1:7" s="57" customFormat="1" x14ac:dyDescent="0.25">
      <c r="A346" s="36" t="s">
        <v>49</v>
      </c>
      <c r="B346" s="31" t="s">
        <v>134</v>
      </c>
      <c r="C346" s="34"/>
      <c r="D346" s="29" t="s">
        <v>63</v>
      </c>
      <c r="E346" s="16">
        <f>+'[1]MEASUREMENT BREAK-UP'!DF346</f>
        <v>0</v>
      </c>
      <c r="F346" s="55"/>
      <c r="G346" s="58">
        <f t="shared" si="8"/>
        <v>0</v>
      </c>
    </row>
    <row r="347" spans="1:7" s="57" customFormat="1" x14ac:dyDescent="0.25">
      <c r="A347" s="36" t="s">
        <v>67</v>
      </c>
      <c r="B347" s="31" t="s">
        <v>217</v>
      </c>
      <c r="C347" s="34"/>
      <c r="D347" s="29" t="s">
        <v>63</v>
      </c>
      <c r="E347" s="16">
        <f>+'[1]MEASUREMENT BREAK-UP'!DF347</f>
        <v>0</v>
      </c>
      <c r="F347" s="55"/>
      <c r="G347" s="58">
        <f t="shared" si="8"/>
        <v>0</v>
      </c>
    </row>
    <row r="348" spans="1:7" s="57" customFormat="1" x14ac:dyDescent="0.25">
      <c r="A348" s="36" t="s">
        <v>69</v>
      </c>
      <c r="B348" s="31" t="s">
        <v>218</v>
      </c>
      <c r="C348" s="34"/>
      <c r="D348" s="29" t="s">
        <v>63</v>
      </c>
      <c r="E348" s="16">
        <f>+'[1]MEASUREMENT BREAK-UP'!DF348</f>
        <v>0</v>
      </c>
      <c r="F348" s="55"/>
      <c r="G348" s="58">
        <f t="shared" si="8"/>
        <v>0</v>
      </c>
    </row>
    <row r="349" spans="1:7" s="57" customFormat="1" x14ac:dyDescent="0.25">
      <c r="A349" s="36" t="s">
        <v>69</v>
      </c>
      <c r="B349" s="31" t="s">
        <v>219</v>
      </c>
      <c r="C349" s="34"/>
      <c r="D349" s="29" t="s">
        <v>63</v>
      </c>
      <c r="E349" s="16">
        <f>+'[1]MEASUREMENT BREAK-UP'!DF349</f>
        <v>0</v>
      </c>
      <c r="F349" s="55"/>
      <c r="G349" s="58">
        <f t="shared" si="8"/>
        <v>0</v>
      </c>
    </row>
    <row r="350" spans="1:7" s="57" customFormat="1" x14ac:dyDescent="0.25">
      <c r="A350" s="36"/>
      <c r="B350" s="31"/>
      <c r="C350" s="34"/>
      <c r="D350" s="29"/>
      <c r="E350" s="16">
        <f>+'[1]MEASUREMENT BREAK-UP'!DF350</f>
        <v>0</v>
      </c>
      <c r="F350" s="55"/>
      <c r="G350" s="58"/>
    </row>
    <row r="351" spans="1:7" s="57" customFormat="1" ht="25.5" x14ac:dyDescent="0.25">
      <c r="A351" s="34">
        <f>IF(C351="","",COUNTA($C$274:C351))</f>
        <v>13</v>
      </c>
      <c r="B351" s="31" t="s">
        <v>220</v>
      </c>
      <c r="C351" s="34">
        <v>1</v>
      </c>
      <c r="D351" s="29"/>
      <c r="E351" s="16">
        <f>+'[1]MEASUREMENT BREAK-UP'!DF351</f>
        <v>0</v>
      </c>
      <c r="F351" s="55"/>
      <c r="G351" s="58">
        <f>IFERROR(E351*F351,0)</f>
        <v>0</v>
      </c>
    </row>
    <row r="352" spans="1:7" s="57" customFormat="1" x14ac:dyDescent="0.25">
      <c r="A352" s="36" t="s">
        <v>24</v>
      </c>
      <c r="B352" s="31" t="s">
        <v>197</v>
      </c>
      <c r="C352" s="34"/>
      <c r="D352" s="29" t="s">
        <v>11</v>
      </c>
      <c r="E352" s="16">
        <f>+'[1]MEASUREMENT BREAK-UP'!DF352</f>
        <v>0</v>
      </c>
      <c r="F352" s="55"/>
      <c r="G352" s="58">
        <f>IFERROR(E352*F352,0)</f>
        <v>0</v>
      </c>
    </row>
    <row r="353" spans="1:7" s="57" customFormat="1" x14ac:dyDescent="0.25">
      <c r="A353" s="36" t="s">
        <v>26</v>
      </c>
      <c r="B353" s="31" t="s">
        <v>198</v>
      </c>
      <c r="C353" s="34"/>
      <c r="D353" s="29" t="s">
        <v>11</v>
      </c>
      <c r="E353" s="16">
        <f>+'[1]MEASUREMENT BREAK-UP'!DF353</f>
        <v>0</v>
      </c>
      <c r="F353" s="55"/>
      <c r="G353" s="58">
        <f>IFERROR(E353*F353,0)</f>
        <v>0</v>
      </c>
    </row>
    <row r="354" spans="1:7" s="57" customFormat="1" x14ac:dyDescent="0.25">
      <c r="A354" s="36" t="s">
        <v>28</v>
      </c>
      <c r="B354" s="31" t="s">
        <v>136</v>
      </c>
      <c r="C354" s="34"/>
      <c r="D354" s="29" t="s">
        <v>11</v>
      </c>
      <c r="E354" s="16">
        <f>+'[1]MEASUREMENT BREAK-UP'!DF354</f>
        <v>0</v>
      </c>
      <c r="F354" s="55"/>
      <c r="G354" s="58">
        <f>IFERROR(E354*F354,0)</f>
        <v>0</v>
      </c>
    </row>
    <row r="355" spans="1:7" s="57" customFormat="1" x14ac:dyDescent="0.25">
      <c r="A355" s="36" t="s">
        <v>49</v>
      </c>
      <c r="B355" s="31" t="s">
        <v>137</v>
      </c>
      <c r="C355" s="34"/>
      <c r="D355" s="29" t="s">
        <v>11</v>
      </c>
      <c r="E355" s="16">
        <f>+'[1]MEASUREMENT BREAK-UP'!DF355</f>
        <v>0</v>
      </c>
      <c r="F355" s="55"/>
      <c r="G355" s="58">
        <f>IFERROR(E355*F355,0)</f>
        <v>0</v>
      </c>
    </row>
    <row r="356" spans="1:7" s="57" customFormat="1" x14ac:dyDescent="0.25">
      <c r="A356" s="62"/>
      <c r="B356" s="63"/>
      <c r="C356" s="64"/>
      <c r="D356" s="65"/>
      <c r="E356" s="16">
        <f>+'[1]MEASUREMENT BREAK-UP'!DF356</f>
        <v>0</v>
      </c>
      <c r="F356" s="55"/>
      <c r="G356" s="58"/>
    </row>
    <row r="357" spans="1:7" s="57" customFormat="1" ht="80.25" customHeight="1" x14ac:dyDescent="0.25">
      <c r="A357" s="34">
        <f>IF(C357="","",COUNTA($C$274:C357))</f>
        <v>14</v>
      </c>
      <c r="B357" s="31" t="s">
        <v>221</v>
      </c>
      <c r="C357" s="34">
        <v>1</v>
      </c>
      <c r="D357" s="29"/>
      <c r="E357" s="16">
        <f>+'[1]MEASUREMENT BREAK-UP'!DF357</f>
        <v>0</v>
      </c>
      <c r="F357" s="55"/>
      <c r="G357" s="58">
        <f t="shared" si="8"/>
        <v>0</v>
      </c>
    </row>
    <row r="358" spans="1:7" s="57" customFormat="1" x14ac:dyDescent="0.25">
      <c r="A358" s="36" t="s">
        <v>24</v>
      </c>
      <c r="B358" s="31" t="s">
        <v>222</v>
      </c>
      <c r="C358" s="34"/>
      <c r="D358" s="29" t="s">
        <v>63</v>
      </c>
      <c r="E358" s="16" t="s">
        <v>17</v>
      </c>
      <c r="F358" s="55"/>
      <c r="G358" s="58">
        <f t="shared" si="8"/>
        <v>0</v>
      </c>
    </row>
    <row r="359" spans="1:7" s="57" customFormat="1" x14ac:dyDescent="0.25">
      <c r="A359" s="36" t="s">
        <v>26</v>
      </c>
      <c r="B359" s="31" t="s">
        <v>223</v>
      </c>
      <c r="C359" s="34"/>
      <c r="D359" s="29" t="s">
        <v>63</v>
      </c>
      <c r="E359" s="16" t="s">
        <v>17</v>
      </c>
      <c r="F359" s="55"/>
      <c r="G359" s="58">
        <f t="shared" si="8"/>
        <v>0</v>
      </c>
    </row>
    <row r="360" spans="1:7" s="57" customFormat="1" x14ac:dyDescent="0.25">
      <c r="A360" s="36" t="s">
        <v>28</v>
      </c>
      <c r="B360" s="31" t="s">
        <v>224</v>
      </c>
      <c r="C360" s="34"/>
      <c r="D360" s="29" t="s">
        <v>63</v>
      </c>
      <c r="E360" s="16">
        <f>+'[1]MEASUREMENT BREAK-UP'!DF360</f>
        <v>392</v>
      </c>
      <c r="F360" s="55"/>
      <c r="G360" s="58">
        <f t="shared" si="8"/>
        <v>0</v>
      </c>
    </row>
    <row r="361" spans="1:7" s="57" customFormat="1" x14ac:dyDescent="0.25">
      <c r="A361" s="36" t="s">
        <v>49</v>
      </c>
      <c r="B361" s="31" t="s">
        <v>207</v>
      </c>
      <c r="C361" s="34"/>
      <c r="D361" s="29" t="s">
        <v>63</v>
      </c>
      <c r="E361" s="16">
        <f>+'[1]MEASUREMENT BREAK-UP'!DF361</f>
        <v>236</v>
      </c>
      <c r="F361" s="55"/>
      <c r="G361" s="58">
        <f t="shared" si="8"/>
        <v>0</v>
      </c>
    </row>
    <row r="362" spans="1:7" s="57" customFormat="1" x14ac:dyDescent="0.25">
      <c r="A362" s="36" t="s">
        <v>67</v>
      </c>
      <c r="B362" s="31" t="s">
        <v>208</v>
      </c>
      <c r="C362" s="34"/>
      <c r="D362" s="29" t="s">
        <v>63</v>
      </c>
      <c r="E362" s="16" t="s">
        <v>17</v>
      </c>
      <c r="F362" s="55"/>
      <c r="G362" s="58">
        <f t="shared" si="8"/>
        <v>0</v>
      </c>
    </row>
    <row r="363" spans="1:7" s="57" customFormat="1" x14ac:dyDescent="0.25">
      <c r="A363" s="36" t="s">
        <v>69</v>
      </c>
      <c r="B363" s="31" t="s">
        <v>187</v>
      </c>
      <c r="C363" s="34"/>
      <c r="D363" s="29" t="s">
        <v>63</v>
      </c>
      <c r="E363" s="16">
        <f>+'[1]MEASUREMENT BREAK-UP'!DF363</f>
        <v>0</v>
      </c>
      <c r="F363" s="55"/>
      <c r="G363" s="58">
        <f t="shared" si="8"/>
        <v>0</v>
      </c>
    </row>
    <row r="364" spans="1:7" s="57" customFormat="1" x14ac:dyDescent="0.25">
      <c r="A364" s="36" t="str">
        <f>IF(C364="","",COUNTA($C$274:C364))</f>
        <v/>
      </c>
      <c r="B364" s="31"/>
      <c r="C364" s="34"/>
      <c r="D364" s="29"/>
      <c r="E364" s="16">
        <f>+'[1]MEASUREMENT BREAK-UP'!DF364</f>
        <v>0</v>
      </c>
      <c r="F364" s="55"/>
      <c r="G364" s="58">
        <f t="shared" si="8"/>
        <v>0</v>
      </c>
    </row>
    <row r="365" spans="1:7" s="57" customFormat="1" ht="86.25" customHeight="1" x14ac:dyDescent="0.25">
      <c r="A365" s="34">
        <f>IF(C365="","",COUNTA($C$274:C365))</f>
        <v>15</v>
      </c>
      <c r="B365" s="31" t="s">
        <v>225</v>
      </c>
      <c r="C365" s="34">
        <v>1</v>
      </c>
      <c r="D365" s="29"/>
      <c r="E365" s="16">
        <f>+'[1]MEASUREMENT BREAK-UP'!DF365</f>
        <v>0</v>
      </c>
      <c r="F365" s="55"/>
      <c r="G365" s="58">
        <f t="shared" si="8"/>
        <v>0</v>
      </c>
    </row>
    <row r="366" spans="1:7" s="57" customFormat="1" x14ac:dyDescent="0.25">
      <c r="A366" s="61" t="s">
        <v>24</v>
      </c>
      <c r="B366" s="31" t="s">
        <v>205</v>
      </c>
      <c r="C366" s="34"/>
      <c r="D366" s="29" t="s">
        <v>63</v>
      </c>
      <c r="E366" s="16">
        <f>+'[1]MEASUREMENT BREAK-UP'!DF366</f>
        <v>0</v>
      </c>
      <c r="F366" s="55"/>
      <c r="G366" s="58">
        <f t="shared" si="8"/>
        <v>0</v>
      </c>
    </row>
    <row r="367" spans="1:7" s="57" customFormat="1" x14ac:dyDescent="0.25">
      <c r="A367" s="61" t="s">
        <v>26</v>
      </c>
      <c r="B367" s="31" t="s">
        <v>207</v>
      </c>
      <c r="C367" s="34"/>
      <c r="D367" s="29" t="s">
        <v>63</v>
      </c>
      <c r="E367" s="16">
        <f>+'[1]MEASUREMENT BREAK-UP'!DF367</f>
        <v>0</v>
      </c>
      <c r="F367" s="55"/>
      <c r="G367" s="58">
        <f t="shared" si="8"/>
        <v>0</v>
      </c>
    </row>
    <row r="368" spans="1:7" s="57" customFormat="1" x14ac:dyDescent="0.25">
      <c r="A368" s="61" t="s">
        <v>28</v>
      </c>
      <c r="B368" s="31" t="s">
        <v>208</v>
      </c>
      <c r="C368" s="34"/>
      <c r="D368" s="29" t="s">
        <v>63</v>
      </c>
      <c r="E368" s="16">
        <f>+'[1]MEASUREMENT BREAK-UP'!DF368</f>
        <v>0</v>
      </c>
      <c r="F368" s="55"/>
      <c r="G368" s="58">
        <f t="shared" si="8"/>
        <v>0</v>
      </c>
    </row>
    <row r="369" spans="1:7" s="57" customFormat="1" x14ac:dyDescent="0.25">
      <c r="A369" s="61" t="s">
        <v>49</v>
      </c>
      <c r="B369" s="31" t="s">
        <v>187</v>
      </c>
      <c r="C369" s="34"/>
      <c r="D369" s="29" t="s">
        <v>63</v>
      </c>
      <c r="E369" s="16">
        <f>+'[1]MEASUREMENT BREAK-UP'!DF369</f>
        <v>0</v>
      </c>
      <c r="F369" s="55"/>
      <c r="G369" s="58">
        <f t="shared" si="8"/>
        <v>0</v>
      </c>
    </row>
    <row r="370" spans="1:7" s="57" customFormat="1" x14ac:dyDescent="0.25">
      <c r="A370" s="61" t="s">
        <v>67</v>
      </c>
      <c r="B370" s="31" t="s">
        <v>226</v>
      </c>
      <c r="C370" s="34"/>
      <c r="D370" s="29" t="s">
        <v>63</v>
      </c>
      <c r="E370" s="16">
        <f>+'[1]MEASUREMENT BREAK-UP'!DF370</f>
        <v>0</v>
      </c>
      <c r="F370" s="55"/>
      <c r="G370" s="58">
        <f t="shared" si="8"/>
        <v>0</v>
      </c>
    </row>
    <row r="371" spans="1:7" s="57" customFormat="1" x14ac:dyDescent="0.25">
      <c r="A371" s="36"/>
      <c r="B371" s="31"/>
      <c r="C371" s="34"/>
      <c r="D371" s="29"/>
      <c r="E371" s="16">
        <f>+'[1]MEASUREMENT BREAK-UP'!DF371</f>
        <v>0</v>
      </c>
      <c r="F371" s="55"/>
      <c r="G371" s="58">
        <f t="shared" si="8"/>
        <v>0</v>
      </c>
    </row>
    <row r="372" spans="1:7" s="57" customFormat="1" ht="75" customHeight="1" x14ac:dyDescent="0.25">
      <c r="A372" s="34">
        <f>IF(C372="","",COUNTA($C$274:C372))</f>
        <v>16</v>
      </c>
      <c r="B372" s="31" t="s">
        <v>227</v>
      </c>
      <c r="C372" s="34">
        <v>1</v>
      </c>
      <c r="D372" s="29"/>
      <c r="E372" s="16">
        <f>+'[1]MEASUREMENT BREAK-UP'!DF372</f>
        <v>0</v>
      </c>
      <c r="F372" s="55"/>
      <c r="G372" s="58">
        <f t="shared" si="8"/>
        <v>0</v>
      </c>
    </row>
    <row r="373" spans="1:7" s="57" customFormat="1" x14ac:dyDescent="0.25">
      <c r="A373" s="36"/>
      <c r="B373" s="31" t="s">
        <v>228</v>
      </c>
      <c r="C373" s="34"/>
      <c r="D373" s="29" t="s">
        <v>63</v>
      </c>
      <c r="E373" s="16" t="s">
        <v>17</v>
      </c>
      <c r="F373" s="55"/>
      <c r="G373" s="58">
        <f t="shared" si="8"/>
        <v>0</v>
      </c>
    </row>
    <row r="374" spans="1:7" s="57" customFormat="1" x14ac:dyDescent="0.25">
      <c r="A374" s="36"/>
      <c r="B374" s="31" t="s">
        <v>229</v>
      </c>
      <c r="C374" s="34"/>
      <c r="D374" s="29" t="s">
        <v>63</v>
      </c>
      <c r="E374" s="16" t="s">
        <v>17</v>
      </c>
      <c r="F374" s="55"/>
      <c r="G374" s="58">
        <f t="shared" si="8"/>
        <v>0</v>
      </c>
    </row>
    <row r="375" spans="1:7" s="57" customFormat="1" x14ac:dyDescent="0.25">
      <c r="A375" s="36"/>
      <c r="B375" s="31" t="s">
        <v>230</v>
      </c>
      <c r="C375" s="34"/>
      <c r="D375" s="29" t="s">
        <v>63</v>
      </c>
      <c r="E375" s="16" t="s">
        <v>17</v>
      </c>
      <c r="F375" s="55"/>
      <c r="G375" s="58">
        <f t="shared" si="8"/>
        <v>0</v>
      </c>
    </row>
    <row r="376" spans="1:7" s="57" customFormat="1" x14ac:dyDescent="0.25">
      <c r="A376" s="36"/>
      <c r="B376" s="31" t="s">
        <v>231</v>
      </c>
      <c r="C376" s="34"/>
      <c r="D376" s="29" t="s">
        <v>63</v>
      </c>
      <c r="E376" s="16" t="s">
        <v>17</v>
      </c>
      <c r="F376" s="55"/>
      <c r="G376" s="58">
        <f t="shared" si="8"/>
        <v>0</v>
      </c>
    </row>
    <row r="377" spans="1:7" s="57" customFormat="1" x14ac:dyDescent="0.25">
      <c r="A377" s="36"/>
      <c r="B377" s="31"/>
      <c r="C377" s="34"/>
      <c r="D377" s="29"/>
      <c r="E377" s="16">
        <f>+'[1]MEASUREMENT BREAK-UP'!DF377</f>
        <v>0</v>
      </c>
      <c r="F377" s="55"/>
      <c r="G377" s="58">
        <f t="shared" si="8"/>
        <v>0</v>
      </c>
    </row>
    <row r="378" spans="1:7" s="57" customFormat="1" ht="38.25" x14ac:dyDescent="0.25">
      <c r="A378" s="34">
        <f>IF(C378="","",COUNTA($C$274:C378))</f>
        <v>17</v>
      </c>
      <c r="B378" s="31" t="s">
        <v>232</v>
      </c>
      <c r="C378" s="34">
        <v>1</v>
      </c>
      <c r="D378" s="29" t="s">
        <v>63</v>
      </c>
      <c r="E378" s="16">
        <f>+'[1]MEASUREMENT BREAK-UP'!DF378</f>
        <v>0</v>
      </c>
      <c r="F378" s="55"/>
      <c r="G378" s="58">
        <f t="shared" si="8"/>
        <v>0</v>
      </c>
    </row>
    <row r="379" spans="1:7" s="57" customFormat="1" x14ac:dyDescent="0.25">
      <c r="A379" s="34" t="str">
        <f>IF(C379="","",COUNTA($C$274:C379))</f>
        <v/>
      </c>
      <c r="B379" s="31"/>
      <c r="C379" s="34"/>
      <c r="D379" s="29"/>
      <c r="E379" s="16">
        <f>+'[1]MEASUREMENT BREAK-UP'!DF379</f>
        <v>0</v>
      </c>
      <c r="F379" s="55"/>
      <c r="G379" s="58">
        <f t="shared" si="8"/>
        <v>0</v>
      </c>
    </row>
    <row r="380" spans="1:7" s="57" customFormat="1" ht="63.75" x14ac:dyDescent="0.25">
      <c r="A380" s="34">
        <f>IF(C380="","",COUNTA($C$274:C380))</f>
        <v>18</v>
      </c>
      <c r="B380" s="31" t="s">
        <v>233</v>
      </c>
      <c r="C380" s="34">
        <v>1</v>
      </c>
      <c r="D380" s="29" t="s">
        <v>63</v>
      </c>
      <c r="E380" s="16">
        <f>+'[1]MEASUREMENT BREAK-UP'!DF380</f>
        <v>0</v>
      </c>
      <c r="F380" s="55"/>
      <c r="G380" s="58">
        <f t="shared" si="8"/>
        <v>0</v>
      </c>
    </row>
    <row r="381" spans="1:7" s="57" customFormat="1" x14ac:dyDescent="0.25">
      <c r="A381" s="34" t="str">
        <f>IF(C381="","",COUNTA($C$274:C381))</f>
        <v/>
      </c>
      <c r="B381" s="31"/>
      <c r="C381" s="34"/>
      <c r="D381" s="29"/>
      <c r="E381" s="16">
        <f>+'[1]MEASUREMENT BREAK-UP'!DF381</f>
        <v>0</v>
      </c>
      <c r="F381" s="55"/>
      <c r="G381" s="58">
        <f t="shared" si="8"/>
        <v>0</v>
      </c>
    </row>
    <row r="382" spans="1:7" s="57" customFormat="1" ht="96.75" customHeight="1" x14ac:dyDescent="0.25">
      <c r="A382" s="34">
        <f>IF(C382="","",COUNTA($C$274:C382))</f>
        <v>19</v>
      </c>
      <c r="B382" s="31" t="s">
        <v>234</v>
      </c>
      <c r="C382" s="34">
        <v>1</v>
      </c>
      <c r="D382" s="29"/>
      <c r="E382" s="16">
        <f>+'[1]MEASUREMENT BREAK-UP'!DF382</f>
        <v>0</v>
      </c>
      <c r="F382" s="55"/>
      <c r="G382" s="58">
        <f t="shared" si="8"/>
        <v>0</v>
      </c>
    </row>
    <row r="383" spans="1:7" s="57" customFormat="1" x14ac:dyDescent="0.25">
      <c r="A383" s="36" t="s">
        <v>24</v>
      </c>
      <c r="B383" s="31" t="s">
        <v>235</v>
      </c>
      <c r="C383" s="34"/>
      <c r="D383" s="29" t="s">
        <v>63</v>
      </c>
      <c r="E383" s="16" t="s">
        <v>17</v>
      </c>
      <c r="F383" s="55"/>
      <c r="G383" s="58">
        <f t="shared" si="8"/>
        <v>0</v>
      </c>
    </row>
    <row r="384" spans="1:7" s="57" customFormat="1" x14ac:dyDescent="0.25">
      <c r="A384" s="36" t="s">
        <v>26</v>
      </c>
      <c r="B384" s="31" t="s">
        <v>236</v>
      </c>
      <c r="C384" s="34"/>
      <c r="D384" s="29" t="s">
        <v>63</v>
      </c>
      <c r="E384" s="16" t="s">
        <v>17</v>
      </c>
      <c r="F384" s="55"/>
      <c r="G384" s="58">
        <f t="shared" si="8"/>
        <v>0</v>
      </c>
    </row>
    <row r="385" spans="1:7" s="57" customFormat="1" x14ac:dyDescent="0.25">
      <c r="A385" s="36" t="s">
        <v>28</v>
      </c>
      <c r="B385" s="31" t="s">
        <v>237</v>
      </c>
      <c r="C385" s="34"/>
      <c r="D385" s="29" t="s">
        <v>63</v>
      </c>
      <c r="E385" s="16" t="s">
        <v>17</v>
      </c>
      <c r="F385" s="55"/>
      <c r="G385" s="58">
        <f t="shared" si="8"/>
        <v>0</v>
      </c>
    </row>
    <row r="386" spans="1:7" s="57" customFormat="1" x14ac:dyDescent="0.25">
      <c r="A386" s="36" t="s">
        <v>49</v>
      </c>
      <c r="B386" s="31" t="s">
        <v>238</v>
      </c>
      <c r="C386" s="34"/>
      <c r="D386" s="29" t="s">
        <v>63</v>
      </c>
      <c r="E386" s="16" t="s">
        <v>17</v>
      </c>
      <c r="F386" s="55"/>
      <c r="G386" s="58">
        <f t="shared" si="8"/>
        <v>0</v>
      </c>
    </row>
    <row r="387" spans="1:7" s="57" customFormat="1" x14ac:dyDescent="0.25">
      <c r="A387" s="36" t="s">
        <v>67</v>
      </c>
      <c r="B387" s="31" t="s">
        <v>239</v>
      </c>
      <c r="C387" s="34"/>
      <c r="D387" s="29" t="s">
        <v>63</v>
      </c>
      <c r="E387" s="16" t="s">
        <v>17</v>
      </c>
      <c r="F387" s="55"/>
      <c r="G387" s="58">
        <f t="shared" si="8"/>
        <v>0</v>
      </c>
    </row>
    <row r="388" spans="1:7" s="57" customFormat="1" x14ac:dyDescent="0.25">
      <c r="A388" s="36" t="s">
        <v>69</v>
      </c>
      <c r="B388" s="31" t="s">
        <v>240</v>
      </c>
      <c r="C388" s="34"/>
      <c r="D388" s="29" t="s">
        <v>63</v>
      </c>
      <c r="E388" s="16" t="s">
        <v>17</v>
      </c>
      <c r="F388" s="55"/>
      <c r="G388" s="58">
        <f t="shared" si="8"/>
        <v>0</v>
      </c>
    </row>
    <row r="389" spans="1:7" s="57" customFormat="1" x14ac:dyDescent="0.25">
      <c r="A389" s="36" t="s">
        <v>72</v>
      </c>
      <c r="B389" s="31" t="s">
        <v>241</v>
      </c>
      <c r="C389" s="34"/>
      <c r="D389" s="29" t="s">
        <v>63</v>
      </c>
      <c r="E389" s="16">
        <f>+'[1]MEASUREMENT BREAK-UP'!DF389</f>
        <v>5</v>
      </c>
      <c r="F389" s="55"/>
      <c r="G389" s="58">
        <f t="shared" si="8"/>
        <v>0</v>
      </c>
    </row>
    <row r="390" spans="1:7" s="57" customFormat="1" x14ac:dyDescent="0.25">
      <c r="A390" s="36" t="s">
        <v>74</v>
      </c>
      <c r="B390" s="31" t="s">
        <v>242</v>
      </c>
      <c r="C390" s="34"/>
      <c r="D390" s="29" t="s">
        <v>63</v>
      </c>
      <c r="E390" s="16">
        <f>+'[1]MEASUREMENT BREAK-UP'!DF390</f>
        <v>16</v>
      </c>
      <c r="F390" s="55"/>
      <c r="G390" s="58">
        <f t="shared" si="8"/>
        <v>0</v>
      </c>
    </row>
    <row r="391" spans="1:7" s="57" customFormat="1" x14ac:dyDescent="0.25">
      <c r="A391" s="36" t="str">
        <f>IF(C391="","",COUNTA($C$274:C391))</f>
        <v/>
      </c>
      <c r="B391" s="31"/>
      <c r="C391" s="34"/>
      <c r="D391" s="29"/>
      <c r="E391" s="16">
        <f>+'[1]MEASUREMENT BREAK-UP'!DF391</f>
        <v>0</v>
      </c>
      <c r="F391" s="55"/>
      <c r="G391" s="58">
        <f t="shared" si="8"/>
        <v>0</v>
      </c>
    </row>
    <row r="392" spans="1:7" s="57" customFormat="1" ht="40.5" customHeight="1" x14ac:dyDescent="0.25">
      <c r="A392" s="34">
        <f>IF(C392="","",COUNTA($C$274:C392))</f>
        <v>20</v>
      </c>
      <c r="B392" s="31" t="s">
        <v>243</v>
      </c>
      <c r="C392" s="53">
        <v>1</v>
      </c>
      <c r="D392" s="54"/>
      <c r="E392" s="16">
        <f>+'[1]MEASUREMENT BREAK-UP'!DF392</f>
        <v>0</v>
      </c>
      <c r="F392" s="55"/>
      <c r="G392" s="66">
        <f t="shared" si="8"/>
        <v>0</v>
      </c>
    </row>
    <row r="393" spans="1:7" s="57" customFormat="1" x14ac:dyDescent="0.25">
      <c r="A393" s="61" t="s">
        <v>24</v>
      </c>
      <c r="B393" s="31" t="s">
        <v>244</v>
      </c>
      <c r="C393" s="34"/>
      <c r="D393" s="29" t="s">
        <v>63</v>
      </c>
      <c r="E393" s="16">
        <f>+'[1]MEASUREMENT BREAK-UP'!DF393</f>
        <v>0</v>
      </c>
      <c r="F393" s="55"/>
      <c r="G393" s="58">
        <f t="shared" si="8"/>
        <v>0</v>
      </c>
    </row>
    <row r="394" spans="1:7" s="57" customFormat="1" x14ac:dyDescent="0.25">
      <c r="A394" s="61" t="s">
        <v>26</v>
      </c>
      <c r="B394" s="31" t="s">
        <v>245</v>
      </c>
      <c r="C394" s="34"/>
      <c r="D394" s="29" t="s">
        <v>63</v>
      </c>
      <c r="E394" s="16">
        <f>+'[1]MEASUREMENT BREAK-UP'!DF394</f>
        <v>0</v>
      </c>
      <c r="F394" s="55"/>
      <c r="G394" s="58">
        <f t="shared" si="8"/>
        <v>0</v>
      </c>
    </row>
    <row r="395" spans="1:7" s="57" customFormat="1" x14ac:dyDescent="0.25">
      <c r="A395" s="61" t="s">
        <v>28</v>
      </c>
      <c r="B395" s="31" t="s">
        <v>246</v>
      </c>
      <c r="C395" s="34"/>
      <c r="D395" s="29" t="s">
        <v>63</v>
      </c>
      <c r="E395" s="16">
        <f>+'[1]MEASUREMENT BREAK-UP'!DF395</f>
        <v>0</v>
      </c>
      <c r="F395" s="55"/>
      <c r="G395" s="58">
        <f t="shared" si="8"/>
        <v>0</v>
      </c>
    </row>
    <row r="396" spans="1:7" s="57" customFormat="1" x14ac:dyDescent="0.25">
      <c r="A396" s="61" t="s">
        <v>49</v>
      </c>
      <c r="B396" s="31" t="s">
        <v>247</v>
      </c>
      <c r="C396" s="34"/>
      <c r="D396" s="29" t="s">
        <v>63</v>
      </c>
      <c r="E396" s="16">
        <f>+'[1]MEASUREMENT BREAK-UP'!DF396</f>
        <v>0</v>
      </c>
      <c r="F396" s="55"/>
      <c r="G396" s="58">
        <f t="shared" si="8"/>
        <v>0</v>
      </c>
    </row>
    <row r="397" spans="1:7" s="57" customFormat="1" x14ac:dyDescent="0.25">
      <c r="A397" s="61" t="s">
        <v>67</v>
      </c>
      <c r="B397" s="31" t="s">
        <v>248</v>
      </c>
      <c r="C397" s="34"/>
      <c r="D397" s="29" t="s">
        <v>63</v>
      </c>
      <c r="E397" s="16">
        <f>+'[1]MEASUREMENT BREAK-UP'!DF397</f>
        <v>0</v>
      </c>
      <c r="F397" s="55"/>
      <c r="G397" s="58">
        <f t="shared" si="8"/>
        <v>0</v>
      </c>
    </row>
    <row r="398" spans="1:7" s="57" customFormat="1" x14ac:dyDescent="0.25">
      <c r="A398" s="61" t="s">
        <v>69</v>
      </c>
      <c r="B398" s="31" t="s">
        <v>249</v>
      </c>
      <c r="C398" s="34"/>
      <c r="D398" s="29" t="s">
        <v>63</v>
      </c>
      <c r="E398" s="16">
        <f>+'[1]MEASUREMENT BREAK-UP'!DF398</f>
        <v>0</v>
      </c>
      <c r="F398" s="55"/>
      <c r="G398" s="58">
        <f t="shared" si="8"/>
        <v>0</v>
      </c>
    </row>
    <row r="399" spans="1:7" s="57" customFormat="1" x14ac:dyDescent="0.25">
      <c r="A399" s="61" t="s">
        <v>72</v>
      </c>
      <c r="B399" s="31" t="s">
        <v>250</v>
      </c>
      <c r="C399" s="34"/>
      <c r="D399" s="29" t="s">
        <v>63</v>
      </c>
      <c r="E399" s="16">
        <f>+'[1]MEASUREMENT BREAK-UP'!DF399</f>
        <v>0</v>
      </c>
      <c r="F399" s="55"/>
      <c r="G399" s="58">
        <f t="shared" si="8"/>
        <v>0</v>
      </c>
    </row>
    <row r="400" spans="1:7" s="57" customFormat="1" x14ac:dyDescent="0.25">
      <c r="A400" s="36" t="str">
        <f>IF(C400="","",COUNTA($C$274:C400))</f>
        <v/>
      </c>
      <c r="B400" s="31"/>
      <c r="C400" s="34"/>
      <c r="D400" s="29"/>
      <c r="E400" s="16">
        <f>+'[1]MEASUREMENT BREAK-UP'!DF400</f>
        <v>0</v>
      </c>
      <c r="F400" s="55"/>
      <c r="G400" s="58">
        <f t="shared" si="8"/>
        <v>0</v>
      </c>
    </row>
    <row r="401" spans="1:7" s="57" customFormat="1" ht="51" x14ac:dyDescent="0.25">
      <c r="A401" s="34">
        <f>IF(C401="","",COUNTA($C$274:C401))</f>
        <v>21</v>
      </c>
      <c r="B401" s="31" t="s">
        <v>251</v>
      </c>
      <c r="C401" s="34">
        <v>1</v>
      </c>
      <c r="D401" s="29"/>
      <c r="E401" s="16">
        <f>+'[1]MEASUREMENT BREAK-UP'!DF401</f>
        <v>0</v>
      </c>
      <c r="F401" s="55"/>
      <c r="G401" s="58">
        <f t="shared" si="8"/>
        <v>0</v>
      </c>
    </row>
    <row r="402" spans="1:7" s="57" customFormat="1" x14ac:dyDescent="0.25">
      <c r="A402" s="34" t="s">
        <v>24</v>
      </c>
      <c r="B402" s="31" t="s">
        <v>252</v>
      </c>
      <c r="C402" s="34"/>
      <c r="D402" s="29" t="s">
        <v>63</v>
      </c>
      <c r="E402" s="16" t="s">
        <v>17</v>
      </c>
      <c r="F402" s="55"/>
      <c r="G402" s="58">
        <f t="shared" si="8"/>
        <v>0</v>
      </c>
    </row>
    <row r="403" spans="1:7" s="57" customFormat="1" x14ac:dyDescent="0.25">
      <c r="A403" s="34" t="s">
        <v>26</v>
      </c>
      <c r="B403" s="31" t="s">
        <v>253</v>
      </c>
      <c r="C403" s="34"/>
      <c r="D403" s="29" t="s">
        <v>63</v>
      </c>
      <c r="E403" s="16" t="s">
        <v>17</v>
      </c>
      <c r="F403" s="55"/>
      <c r="G403" s="58">
        <f t="shared" si="8"/>
        <v>0</v>
      </c>
    </row>
    <row r="404" spans="1:7" s="57" customFormat="1" x14ac:dyDescent="0.25">
      <c r="A404" s="34" t="str">
        <f>IF(C404="","",COUNTA($C$274:C404))</f>
        <v/>
      </c>
      <c r="B404" s="31"/>
      <c r="C404" s="34"/>
      <c r="D404" s="29"/>
      <c r="E404" s="16">
        <f>+'[1]MEASUREMENT BREAK-UP'!DF404</f>
        <v>0</v>
      </c>
      <c r="F404" s="55"/>
      <c r="G404" s="58">
        <f t="shared" si="8"/>
        <v>0</v>
      </c>
    </row>
    <row r="405" spans="1:7" s="57" customFormat="1" ht="51" x14ac:dyDescent="0.25">
      <c r="A405" s="34">
        <f>IF(C405="","",COUNTA($C$274:C405))</f>
        <v>22</v>
      </c>
      <c r="B405" s="31" t="s">
        <v>254</v>
      </c>
      <c r="C405" s="34">
        <v>1</v>
      </c>
      <c r="D405" s="29"/>
      <c r="E405" s="16">
        <f>+'[1]MEASUREMENT BREAK-UP'!DF405</f>
        <v>0</v>
      </c>
      <c r="F405" s="55"/>
      <c r="G405" s="58">
        <f t="shared" ref="G405:G470" si="9">IFERROR(E405*F405,0)</f>
        <v>0</v>
      </c>
    </row>
    <row r="406" spans="1:7" s="57" customFormat="1" x14ac:dyDescent="0.25">
      <c r="A406" s="34" t="s">
        <v>24</v>
      </c>
      <c r="B406" s="31" t="s">
        <v>252</v>
      </c>
      <c r="C406" s="34"/>
      <c r="D406" s="29" t="s">
        <v>63</v>
      </c>
      <c r="E406" s="16" t="s">
        <v>17</v>
      </c>
      <c r="F406" s="55"/>
      <c r="G406" s="58">
        <f t="shared" si="9"/>
        <v>0</v>
      </c>
    </row>
    <row r="407" spans="1:7" s="57" customFormat="1" x14ac:dyDescent="0.25">
      <c r="A407" s="34" t="s">
        <v>26</v>
      </c>
      <c r="B407" s="31" t="s">
        <v>253</v>
      </c>
      <c r="C407" s="34"/>
      <c r="D407" s="29" t="s">
        <v>63</v>
      </c>
      <c r="E407" s="16" t="s">
        <v>17</v>
      </c>
      <c r="F407" s="55"/>
      <c r="G407" s="58">
        <f t="shared" si="9"/>
        <v>0</v>
      </c>
    </row>
    <row r="408" spans="1:7" s="57" customFormat="1" x14ac:dyDescent="0.25">
      <c r="A408" s="34" t="str">
        <f>IF(C408="","",COUNTA($C$274:C408))</f>
        <v/>
      </c>
      <c r="B408" s="31"/>
      <c r="C408" s="34"/>
      <c r="D408" s="29"/>
      <c r="E408" s="16">
        <f>+'[1]MEASUREMENT BREAK-UP'!DF408</f>
        <v>0</v>
      </c>
      <c r="F408" s="55"/>
      <c r="G408" s="58">
        <f t="shared" si="9"/>
        <v>0</v>
      </c>
    </row>
    <row r="409" spans="1:7" s="57" customFormat="1" ht="38.25" x14ac:dyDescent="0.25">
      <c r="A409" s="34">
        <f>IF(C409="","",COUNTA($C$274:C409))</f>
        <v>23</v>
      </c>
      <c r="B409" s="31" t="s">
        <v>255</v>
      </c>
      <c r="C409" s="34">
        <v>1</v>
      </c>
      <c r="D409" s="29" t="s">
        <v>256</v>
      </c>
      <c r="E409" s="16" t="s">
        <v>17</v>
      </c>
      <c r="F409" s="55"/>
      <c r="G409" s="58">
        <f t="shared" si="9"/>
        <v>0</v>
      </c>
    </row>
    <row r="410" spans="1:7" s="57" customFormat="1" x14ac:dyDescent="0.25">
      <c r="A410" s="36" t="str">
        <f>IF(C410="","",COUNTA($C$274:C410))</f>
        <v/>
      </c>
      <c r="B410" s="31"/>
      <c r="C410" s="34"/>
      <c r="D410" s="29"/>
      <c r="E410" s="16">
        <f>+'[1]MEASUREMENT BREAK-UP'!DF410</f>
        <v>0</v>
      </c>
      <c r="F410" s="55"/>
      <c r="G410" s="58">
        <f t="shared" si="9"/>
        <v>0</v>
      </c>
    </row>
    <row r="411" spans="1:7" s="57" customFormat="1" ht="159.75" customHeight="1" x14ac:dyDescent="0.25">
      <c r="A411" s="34">
        <f>IF(C411="","",COUNTA($C$274:C411))</f>
        <v>24</v>
      </c>
      <c r="B411" s="31" t="s">
        <v>257</v>
      </c>
      <c r="C411" s="34">
        <v>1</v>
      </c>
      <c r="D411" s="29"/>
      <c r="E411" s="16">
        <f>+'[1]MEASUREMENT BREAK-UP'!DF411</f>
        <v>0</v>
      </c>
      <c r="F411" s="55"/>
      <c r="G411" s="58">
        <f t="shared" si="9"/>
        <v>0</v>
      </c>
    </row>
    <row r="412" spans="1:7" s="57" customFormat="1" x14ac:dyDescent="0.25">
      <c r="A412" s="36" t="s">
        <v>24</v>
      </c>
      <c r="B412" s="31" t="s">
        <v>258</v>
      </c>
      <c r="C412" s="34"/>
      <c r="D412" s="29" t="s">
        <v>11</v>
      </c>
      <c r="E412" s="16" t="s">
        <v>17</v>
      </c>
      <c r="F412" s="55"/>
      <c r="G412" s="58">
        <f t="shared" si="9"/>
        <v>0</v>
      </c>
    </row>
    <row r="413" spans="1:7" s="57" customFormat="1" x14ac:dyDescent="0.25">
      <c r="A413" s="36" t="s">
        <v>26</v>
      </c>
      <c r="B413" s="31" t="s">
        <v>259</v>
      </c>
      <c r="C413" s="34"/>
      <c r="D413" s="29" t="s">
        <v>11</v>
      </c>
      <c r="E413" s="16" t="s">
        <v>17</v>
      </c>
      <c r="F413" s="55"/>
      <c r="G413" s="58">
        <f t="shared" si="9"/>
        <v>0</v>
      </c>
    </row>
    <row r="414" spans="1:7" s="57" customFormat="1" x14ac:dyDescent="0.25">
      <c r="A414" s="36" t="s">
        <v>28</v>
      </c>
      <c r="B414" s="31" t="s">
        <v>260</v>
      </c>
      <c r="C414" s="34"/>
      <c r="D414" s="29" t="s">
        <v>11</v>
      </c>
      <c r="E414" s="16" t="s">
        <v>17</v>
      </c>
      <c r="F414" s="55"/>
      <c r="G414" s="58">
        <f t="shared" si="9"/>
        <v>0</v>
      </c>
    </row>
    <row r="415" spans="1:7" s="57" customFormat="1" x14ac:dyDescent="0.25">
      <c r="A415" s="36" t="str">
        <f>IF(C415="","",COUNTA($C$274:C415))</f>
        <v/>
      </c>
      <c r="B415" s="31"/>
      <c r="C415" s="34"/>
      <c r="D415" s="29"/>
      <c r="E415" s="16">
        <f>+'[1]MEASUREMENT BREAK-UP'!DF415</f>
        <v>0</v>
      </c>
      <c r="F415" s="55"/>
      <c r="G415" s="58">
        <f t="shared" si="9"/>
        <v>0</v>
      </c>
    </row>
    <row r="416" spans="1:7" s="57" customFormat="1" ht="102" x14ac:dyDescent="0.25">
      <c r="A416" s="34">
        <f>IF(C416="","",COUNTA($C$274:C416))</f>
        <v>25</v>
      </c>
      <c r="B416" s="31" t="s">
        <v>261</v>
      </c>
      <c r="C416" s="34">
        <v>1</v>
      </c>
      <c r="D416" s="29"/>
      <c r="E416" s="16">
        <f>+'[1]MEASUREMENT BREAK-UP'!DF416</f>
        <v>0</v>
      </c>
      <c r="F416" s="55"/>
      <c r="G416" s="58">
        <f t="shared" si="9"/>
        <v>0</v>
      </c>
    </row>
    <row r="417" spans="1:7" s="57" customFormat="1" x14ac:dyDescent="0.25">
      <c r="A417" s="36" t="s">
        <v>24</v>
      </c>
      <c r="B417" s="31" t="s">
        <v>262</v>
      </c>
      <c r="C417" s="34"/>
      <c r="D417" s="29" t="s">
        <v>11</v>
      </c>
      <c r="E417" s="16" t="s">
        <v>17</v>
      </c>
      <c r="F417" s="55"/>
      <c r="G417" s="58">
        <f t="shared" si="9"/>
        <v>0</v>
      </c>
    </row>
    <row r="418" spans="1:7" s="57" customFormat="1" x14ac:dyDescent="0.25">
      <c r="A418" s="36" t="s">
        <v>26</v>
      </c>
      <c r="B418" s="31" t="s">
        <v>263</v>
      </c>
      <c r="C418" s="34"/>
      <c r="D418" s="29" t="s">
        <v>11</v>
      </c>
      <c r="E418" s="16">
        <f>+'[1]MEASUREMENT BREAK-UP'!DF418</f>
        <v>0</v>
      </c>
      <c r="F418" s="55"/>
      <c r="G418" s="58">
        <f t="shared" si="9"/>
        <v>0</v>
      </c>
    </row>
    <row r="419" spans="1:7" s="57" customFormat="1" x14ac:dyDescent="0.25">
      <c r="A419" s="36" t="s">
        <v>28</v>
      </c>
      <c r="B419" s="31" t="s">
        <v>264</v>
      </c>
      <c r="C419" s="34"/>
      <c r="D419" s="29" t="s">
        <v>11</v>
      </c>
      <c r="E419" s="16" t="s">
        <v>17</v>
      </c>
      <c r="F419" s="55"/>
      <c r="G419" s="58"/>
    </row>
    <row r="420" spans="1:7" s="57" customFormat="1" x14ac:dyDescent="0.25">
      <c r="A420" s="36" t="str">
        <f>IF(C420="","",COUNTA($C$274:C420))</f>
        <v/>
      </c>
      <c r="B420" s="31"/>
      <c r="C420" s="34"/>
      <c r="D420" s="29"/>
      <c r="E420" s="16">
        <f>+'[1]MEASUREMENT BREAK-UP'!DF420</f>
        <v>0</v>
      </c>
      <c r="F420" s="55"/>
      <c r="G420" s="58">
        <f t="shared" si="9"/>
        <v>0</v>
      </c>
    </row>
    <row r="421" spans="1:7" s="57" customFormat="1" ht="96.75" customHeight="1" x14ac:dyDescent="0.25">
      <c r="A421" s="34">
        <f>IF(C421="","",COUNTA($C$274:C421))</f>
        <v>26</v>
      </c>
      <c r="B421" s="31" t="s">
        <v>265</v>
      </c>
      <c r="C421" s="34">
        <v>1</v>
      </c>
      <c r="D421" s="29"/>
      <c r="E421" s="16">
        <f>+'[1]MEASUREMENT BREAK-UP'!DF421</f>
        <v>0</v>
      </c>
      <c r="F421" s="55"/>
      <c r="G421" s="58">
        <f t="shared" si="9"/>
        <v>0</v>
      </c>
    </row>
    <row r="422" spans="1:7" s="57" customFormat="1" x14ac:dyDescent="0.25">
      <c r="A422" s="34" t="s">
        <v>24</v>
      </c>
      <c r="B422" s="31" t="s">
        <v>266</v>
      </c>
      <c r="C422" s="34"/>
      <c r="D422" s="29" t="s">
        <v>11</v>
      </c>
      <c r="E422" s="16" t="s">
        <v>17</v>
      </c>
      <c r="F422" s="55"/>
      <c r="G422" s="58">
        <f t="shared" si="9"/>
        <v>0</v>
      </c>
    </row>
    <row r="423" spans="1:7" s="57" customFormat="1" x14ac:dyDescent="0.25">
      <c r="A423" s="34" t="s">
        <v>26</v>
      </c>
      <c r="B423" s="31" t="s">
        <v>267</v>
      </c>
      <c r="C423" s="34"/>
      <c r="D423" s="29" t="s">
        <v>11</v>
      </c>
      <c r="E423" s="16">
        <f>+'[1]MEASUREMENT BREAK-UP'!DF423</f>
        <v>0</v>
      </c>
      <c r="F423" s="55"/>
      <c r="G423" s="58">
        <f t="shared" si="9"/>
        <v>0</v>
      </c>
    </row>
    <row r="424" spans="1:7" s="57" customFormat="1" x14ac:dyDescent="0.25">
      <c r="A424" s="34" t="s">
        <v>174</v>
      </c>
      <c r="B424" s="31" t="s">
        <v>268</v>
      </c>
      <c r="C424" s="34"/>
      <c r="D424" s="29" t="s">
        <v>11</v>
      </c>
      <c r="E424" s="16" t="s">
        <v>17</v>
      </c>
      <c r="F424" s="55"/>
      <c r="G424" s="58">
        <f t="shared" si="9"/>
        <v>0</v>
      </c>
    </row>
    <row r="425" spans="1:7" s="57" customFormat="1" x14ac:dyDescent="0.25">
      <c r="A425" s="34" t="str">
        <f>IF(C425="","",COUNTA($C$274:C425))</f>
        <v/>
      </c>
      <c r="B425" s="31"/>
      <c r="C425" s="34"/>
      <c r="D425" s="29"/>
      <c r="E425" s="16">
        <f>+'[1]MEASUREMENT BREAK-UP'!DF425</f>
        <v>0</v>
      </c>
      <c r="F425" s="55"/>
      <c r="G425" s="58">
        <f t="shared" si="9"/>
        <v>0</v>
      </c>
    </row>
    <row r="426" spans="1:7" s="57" customFormat="1" ht="127.5" x14ac:dyDescent="0.25">
      <c r="A426" s="34">
        <f>IF(C426="","",COUNTA($C$274:C426))</f>
        <v>27</v>
      </c>
      <c r="B426" s="31" t="s">
        <v>269</v>
      </c>
      <c r="C426" s="34">
        <v>1</v>
      </c>
      <c r="D426" s="29" t="s">
        <v>11</v>
      </c>
      <c r="E426" s="16">
        <f>+'[1]MEASUREMENT BREAK-UP'!DF426</f>
        <v>0</v>
      </c>
      <c r="F426" s="55"/>
      <c r="G426" s="58">
        <f t="shared" si="9"/>
        <v>0</v>
      </c>
    </row>
    <row r="427" spans="1:7" s="57" customFormat="1" x14ac:dyDescent="0.25">
      <c r="A427" s="34" t="str">
        <f>IF(C427="","",COUNTA($C$274:C427))</f>
        <v/>
      </c>
      <c r="B427" s="31"/>
      <c r="C427" s="34"/>
      <c r="D427" s="29"/>
      <c r="E427" s="16">
        <f>+'[1]MEASUREMENT BREAK-UP'!DF427</f>
        <v>0</v>
      </c>
      <c r="F427" s="55"/>
      <c r="G427" s="58">
        <f t="shared" si="9"/>
        <v>0</v>
      </c>
    </row>
    <row r="428" spans="1:7" s="57" customFormat="1" x14ac:dyDescent="0.25">
      <c r="A428" s="34">
        <f>IF(C428="","",COUNTA($C$274:C428))</f>
        <v>28</v>
      </c>
      <c r="B428" s="31" t="s">
        <v>270</v>
      </c>
      <c r="C428" s="34">
        <v>1</v>
      </c>
      <c r="D428" s="29"/>
      <c r="E428" s="16">
        <f>+'[1]MEASUREMENT BREAK-UP'!DF428</f>
        <v>0</v>
      </c>
      <c r="F428" s="55"/>
      <c r="G428" s="58">
        <f t="shared" si="9"/>
        <v>0</v>
      </c>
    </row>
    <row r="429" spans="1:7" s="57" customFormat="1" x14ac:dyDescent="0.25">
      <c r="A429" s="36" t="str">
        <f>IF(C429="","",COUNTA($C$274:C429))</f>
        <v/>
      </c>
      <c r="B429" s="31" t="s">
        <v>271</v>
      </c>
      <c r="C429" s="34"/>
      <c r="D429" s="29" t="s">
        <v>63</v>
      </c>
      <c r="E429" s="16">
        <f>+'[1]MEASUREMENT BREAK-UP'!DF429</f>
        <v>0</v>
      </c>
      <c r="F429" s="55"/>
      <c r="G429" s="58">
        <f t="shared" si="9"/>
        <v>0</v>
      </c>
    </row>
    <row r="430" spans="1:7" s="57" customFormat="1" x14ac:dyDescent="0.25">
      <c r="A430" s="36" t="str">
        <f>IF(C430="","",COUNTA($C$274:C430))</f>
        <v/>
      </c>
      <c r="B430" s="31"/>
      <c r="C430" s="34"/>
      <c r="D430" s="29"/>
      <c r="E430" s="16">
        <f>+'[1]MEASUREMENT BREAK-UP'!DF430</f>
        <v>0</v>
      </c>
      <c r="F430" s="55"/>
      <c r="G430" s="58">
        <f t="shared" si="9"/>
        <v>0</v>
      </c>
    </row>
    <row r="431" spans="1:7" s="57" customFormat="1" ht="127.5" x14ac:dyDescent="0.25">
      <c r="A431" s="34">
        <f>IF(C431="","",COUNTA($C$274:C431))</f>
        <v>29</v>
      </c>
      <c r="B431" s="31" t="s">
        <v>272</v>
      </c>
      <c r="C431" s="34">
        <v>1</v>
      </c>
      <c r="D431" s="29" t="s">
        <v>11</v>
      </c>
      <c r="E431" s="16">
        <f>+'[1]MEASUREMENT BREAK-UP'!DF431</f>
        <v>0</v>
      </c>
      <c r="F431" s="55"/>
      <c r="G431" s="58">
        <f t="shared" si="9"/>
        <v>0</v>
      </c>
    </row>
    <row r="432" spans="1:7" s="57" customFormat="1" x14ac:dyDescent="0.25">
      <c r="A432" s="34" t="str">
        <f>IF(C432="","",COUNTA($C$274:C432))</f>
        <v/>
      </c>
      <c r="B432" s="31"/>
      <c r="C432" s="34"/>
      <c r="D432" s="29"/>
      <c r="E432" s="16">
        <f>+'[1]MEASUREMENT BREAK-UP'!DF432</f>
        <v>0</v>
      </c>
      <c r="F432" s="55"/>
      <c r="G432" s="58">
        <f t="shared" si="9"/>
        <v>0</v>
      </c>
    </row>
    <row r="433" spans="1:7" s="57" customFormat="1" x14ac:dyDescent="0.25">
      <c r="A433" s="34">
        <f>IF(C433="","",COUNTA($C$274:C433))</f>
        <v>30</v>
      </c>
      <c r="B433" s="31" t="s">
        <v>270</v>
      </c>
      <c r="C433" s="34">
        <v>1</v>
      </c>
      <c r="D433" s="29"/>
      <c r="E433" s="16">
        <f>+'[1]MEASUREMENT BREAK-UP'!DF433</f>
        <v>0</v>
      </c>
      <c r="F433" s="55"/>
      <c r="G433" s="58">
        <f t="shared" si="9"/>
        <v>0</v>
      </c>
    </row>
    <row r="434" spans="1:7" s="57" customFormat="1" x14ac:dyDescent="0.25">
      <c r="A434" s="34" t="str">
        <f>IF(C434="","",COUNTA($C$274:C434))</f>
        <v/>
      </c>
      <c r="B434" s="31" t="s">
        <v>273</v>
      </c>
      <c r="C434" s="34"/>
      <c r="D434" s="29" t="s">
        <v>63</v>
      </c>
      <c r="E434" s="16">
        <f>+'[1]MEASUREMENT BREAK-UP'!DF434</f>
        <v>0</v>
      </c>
      <c r="F434" s="55"/>
      <c r="G434" s="58">
        <f t="shared" si="9"/>
        <v>0</v>
      </c>
    </row>
    <row r="435" spans="1:7" s="57" customFormat="1" x14ac:dyDescent="0.25">
      <c r="A435" s="34" t="str">
        <f>IF(C435="","",COUNTA($C$274:C435))</f>
        <v/>
      </c>
      <c r="B435" s="31"/>
      <c r="C435" s="34"/>
      <c r="D435" s="29"/>
      <c r="E435" s="16">
        <f>+'[1]MEASUREMENT BREAK-UP'!DF435</f>
        <v>0</v>
      </c>
      <c r="F435" s="55"/>
      <c r="G435" s="58">
        <f t="shared" si="9"/>
        <v>0</v>
      </c>
    </row>
    <row r="436" spans="1:7" s="57" customFormat="1" ht="127.5" x14ac:dyDescent="0.25">
      <c r="A436" s="34">
        <f>IF(C436="","",COUNTA($C$274:C436))</f>
        <v>31</v>
      </c>
      <c r="B436" s="31" t="s">
        <v>274</v>
      </c>
      <c r="C436" s="34">
        <v>1</v>
      </c>
      <c r="D436" s="29" t="s">
        <v>11</v>
      </c>
      <c r="E436" s="16">
        <f>+'[1]MEASUREMENT BREAK-UP'!DF436</f>
        <v>0</v>
      </c>
      <c r="F436" s="55"/>
      <c r="G436" s="58">
        <f t="shared" si="9"/>
        <v>0</v>
      </c>
    </row>
    <row r="437" spans="1:7" s="57" customFormat="1" x14ac:dyDescent="0.25">
      <c r="A437" s="36" t="str">
        <f>IF(C437="","",COUNTA($C$274:C437))</f>
        <v/>
      </c>
      <c r="B437" s="31"/>
      <c r="C437" s="34"/>
      <c r="D437" s="29"/>
      <c r="E437" s="16">
        <f>+'[1]MEASUREMENT BREAK-UP'!DF437</f>
        <v>0</v>
      </c>
      <c r="F437" s="55"/>
      <c r="G437" s="58">
        <f t="shared" si="9"/>
        <v>0</v>
      </c>
    </row>
    <row r="438" spans="1:7" s="57" customFormat="1" x14ac:dyDescent="0.25">
      <c r="A438" s="34">
        <f>IF(C438="","",COUNTA($C$274:C438))</f>
        <v>32</v>
      </c>
      <c r="B438" s="31" t="s">
        <v>270</v>
      </c>
      <c r="C438" s="34">
        <v>1</v>
      </c>
      <c r="D438" s="29"/>
      <c r="E438" s="16">
        <f>+'[1]MEASUREMENT BREAK-UP'!DF438</f>
        <v>0</v>
      </c>
      <c r="F438" s="55"/>
      <c r="G438" s="58">
        <f t="shared" si="9"/>
        <v>0</v>
      </c>
    </row>
    <row r="439" spans="1:7" s="57" customFormat="1" x14ac:dyDescent="0.25">
      <c r="A439" s="34" t="str">
        <f>IF(C439="","",COUNTA($C$274:C439))</f>
        <v/>
      </c>
      <c r="B439" s="31" t="s">
        <v>275</v>
      </c>
      <c r="C439" s="34"/>
      <c r="D439" s="29" t="s">
        <v>63</v>
      </c>
      <c r="E439" s="16">
        <f>+'[1]MEASUREMENT BREAK-UP'!DF439</f>
        <v>0</v>
      </c>
      <c r="F439" s="55"/>
      <c r="G439" s="58">
        <f t="shared" si="9"/>
        <v>0</v>
      </c>
    </row>
    <row r="440" spans="1:7" s="57" customFormat="1" x14ac:dyDescent="0.25">
      <c r="A440" s="34" t="str">
        <f>IF(C440="","",COUNTA($C$274:C440))</f>
        <v/>
      </c>
      <c r="B440" s="31"/>
      <c r="C440" s="34"/>
      <c r="D440" s="29"/>
      <c r="E440" s="16">
        <f>+'[1]MEASUREMENT BREAK-UP'!DF440</f>
        <v>0</v>
      </c>
      <c r="F440" s="55"/>
      <c r="G440" s="58">
        <f t="shared" si="9"/>
        <v>0</v>
      </c>
    </row>
    <row r="441" spans="1:7" ht="29.25" customHeight="1" x14ac:dyDescent="0.25">
      <c r="A441" s="34">
        <f>IF(C441="","",COUNTA($C$274:C441))</f>
        <v>33</v>
      </c>
      <c r="B441" s="31" t="s">
        <v>276</v>
      </c>
      <c r="C441" s="34">
        <v>1</v>
      </c>
      <c r="D441" s="29"/>
      <c r="E441" s="16">
        <f>+'[1]MEASUREMENT BREAK-UP'!DF441</f>
        <v>0</v>
      </c>
      <c r="F441" s="22"/>
      <c r="G441" s="58">
        <f t="shared" si="9"/>
        <v>0</v>
      </c>
    </row>
    <row r="442" spans="1:7" x14ac:dyDescent="0.25">
      <c r="A442" s="36" t="s">
        <v>24</v>
      </c>
      <c r="B442" s="31" t="s">
        <v>277</v>
      </c>
      <c r="C442" s="34"/>
      <c r="D442" s="29" t="s">
        <v>11</v>
      </c>
      <c r="E442" s="16" t="s">
        <v>17</v>
      </c>
      <c r="F442" s="22"/>
      <c r="G442" s="58">
        <f t="shared" si="9"/>
        <v>0</v>
      </c>
    </row>
    <row r="443" spans="1:7" x14ac:dyDescent="0.25">
      <c r="A443" s="36" t="s">
        <v>26</v>
      </c>
      <c r="B443" s="31" t="s">
        <v>278</v>
      </c>
      <c r="C443" s="34"/>
      <c r="D443" s="29" t="s">
        <v>11</v>
      </c>
      <c r="E443" s="16" t="s">
        <v>17</v>
      </c>
      <c r="F443" s="22"/>
      <c r="G443" s="58">
        <f t="shared" si="9"/>
        <v>0</v>
      </c>
    </row>
    <row r="444" spans="1:7" x14ac:dyDescent="0.25">
      <c r="A444" s="36" t="s">
        <v>28</v>
      </c>
      <c r="B444" s="31" t="s">
        <v>279</v>
      </c>
      <c r="C444" s="34"/>
      <c r="D444" s="29" t="s">
        <v>11</v>
      </c>
      <c r="E444" s="16" t="s">
        <v>17</v>
      </c>
      <c r="F444" s="22"/>
      <c r="G444" s="58">
        <f t="shared" si="9"/>
        <v>0</v>
      </c>
    </row>
    <row r="445" spans="1:7" x14ac:dyDescent="0.25">
      <c r="A445" s="36" t="s">
        <v>49</v>
      </c>
      <c r="B445" s="31" t="s">
        <v>280</v>
      </c>
      <c r="C445" s="34"/>
      <c r="D445" s="29" t="s">
        <v>11</v>
      </c>
      <c r="E445" s="16" t="s">
        <v>17</v>
      </c>
      <c r="F445" s="22"/>
      <c r="G445" s="58">
        <f t="shared" si="9"/>
        <v>0</v>
      </c>
    </row>
    <row r="446" spans="1:7" x14ac:dyDescent="0.25">
      <c r="A446" s="36" t="s">
        <v>67</v>
      </c>
      <c r="B446" s="31" t="s">
        <v>281</v>
      </c>
      <c r="C446" s="34"/>
      <c r="D446" s="29" t="s">
        <v>11</v>
      </c>
      <c r="E446" s="16" t="s">
        <v>17</v>
      </c>
      <c r="F446" s="22"/>
      <c r="G446" s="58">
        <f t="shared" si="9"/>
        <v>0</v>
      </c>
    </row>
    <row r="447" spans="1:7" x14ac:dyDescent="0.25">
      <c r="A447" s="36" t="s">
        <v>69</v>
      </c>
      <c r="B447" s="31" t="s">
        <v>282</v>
      </c>
      <c r="C447" s="34"/>
      <c r="D447" s="29" t="s">
        <v>11</v>
      </c>
      <c r="E447" s="16" t="s">
        <v>17</v>
      </c>
      <c r="F447" s="22"/>
      <c r="G447" s="58">
        <f t="shared" si="9"/>
        <v>0</v>
      </c>
    </row>
    <row r="448" spans="1:7" x14ac:dyDescent="0.25">
      <c r="A448" s="36" t="s">
        <v>72</v>
      </c>
      <c r="B448" s="31" t="s">
        <v>283</v>
      </c>
      <c r="C448" s="34"/>
      <c r="D448" s="29" t="s">
        <v>11</v>
      </c>
      <c r="E448" s="16" t="s">
        <v>17</v>
      </c>
      <c r="F448" s="22"/>
      <c r="G448" s="58">
        <f t="shared" si="9"/>
        <v>0</v>
      </c>
    </row>
    <row r="449" spans="1:7" x14ac:dyDescent="0.25">
      <c r="A449" s="36" t="s">
        <v>74</v>
      </c>
      <c r="B449" s="31" t="s">
        <v>284</v>
      </c>
      <c r="C449" s="34"/>
      <c r="D449" s="29" t="s">
        <v>11</v>
      </c>
      <c r="E449" s="16" t="s">
        <v>17</v>
      </c>
      <c r="F449" s="22"/>
      <c r="G449" s="58">
        <f t="shared" si="9"/>
        <v>0</v>
      </c>
    </row>
    <row r="450" spans="1:7" x14ac:dyDescent="0.25">
      <c r="A450" s="36" t="str">
        <f>IF(C450="","",COUNTA($C$274:C450))</f>
        <v/>
      </c>
      <c r="B450" s="31"/>
      <c r="C450" s="34"/>
      <c r="D450" s="29"/>
      <c r="E450" s="16">
        <f>+'[1]MEASUREMENT BREAK-UP'!DF450</f>
        <v>0</v>
      </c>
      <c r="F450" s="22"/>
      <c r="G450" s="58">
        <f t="shared" si="9"/>
        <v>0</v>
      </c>
    </row>
    <row r="451" spans="1:7" ht="51" x14ac:dyDescent="0.25">
      <c r="A451" s="34">
        <f>IF(C451="","",COUNTA($C$274:C451))</f>
        <v>34</v>
      </c>
      <c r="B451" s="31" t="s">
        <v>285</v>
      </c>
      <c r="C451" s="34">
        <v>1</v>
      </c>
      <c r="D451" s="29" t="s">
        <v>11</v>
      </c>
      <c r="E451" s="16">
        <f>+'[1]MEASUREMENT BREAK-UP'!DF451</f>
        <v>0</v>
      </c>
      <c r="F451" s="22"/>
      <c r="G451" s="58">
        <f t="shared" si="9"/>
        <v>0</v>
      </c>
    </row>
    <row r="452" spans="1:7" x14ac:dyDescent="0.25">
      <c r="A452" s="34"/>
      <c r="B452" s="31"/>
      <c r="C452" s="34"/>
      <c r="D452" s="29" t="s">
        <v>11</v>
      </c>
      <c r="E452" s="16">
        <f>+'[1]MEASUREMENT BREAK-UP'!DF452</f>
        <v>0</v>
      </c>
      <c r="F452" s="22"/>
      <c r="G452" s="58">
        <f t="shared" si="9"/>
        <v>0</v>
      </c>
    </row>
    <row r="453" spans="1:7" ht="38.25" x14ac:dyDescent="0.25">
      <c r="A453" s="34">
        <f>IF(C453="","",COUNTA($C$274:C453))</f>
        <v>35</v>
      </c>
      <c r="B453" s="31" t="s">
        <v>286</v>
      </c>
      <c r="C453" s="34">
        <v>1</v>
      </c>
      <c r="D453" s="29" t="s">
        <v>11</v>
      </c>
      <c r="E453" s="16">
        <f>+'[1]MEASUREMENT BREAK-UP'!DF453</f>
        <v>0</v>
      </c>
      <c r="F453" s="22"/>
      <c r="G453" s="58">
        <f t="shared" si="9"/>
        <v>0</v>
      </c>
    </row>
    <row r="454" spans="1:7" x14ac:dyDescent="0.25">
      <c r="A454" s="34" t="str">
        <f>IF(C454="","",COUNTA($C$274:C454))</f>
        <v/>
      </c>
      <c r="B454" s="31"/>
      <c r="C454" s="34"/>
      <c r="D454" s="29" t="s">
        <v>11</v>
      </c>
      <c r="E454" s="16">
        <f>+'[1]MEASUREMENT BREAK-UP'!DF454</f>
        <v>0</v>
      </c>
      <c r="F454" s="22"/>
      <c r="G454" s="58">
        <f t="shared" si="9"/>
        <v>0</v>
      </c>
    </row>
    <row r="455" spans="1:7" s="60" customFormat="1" ht="38.25" x14ac:dyDescent="0.25">
      <c r="A455" s="34">
        <f>IF(C455="","",COUNTA($C$274:C455))</f>
        <v>36</v>
      </c>
      <c r="B455" s="31" t="s">
        <v>287</v>
      </c>
      <c r="C455" s="34">
        <v>1</v>
      </c>
      <c r="D455" s="29" t="s">
        <v>11</v>
      </c>
      <c r="E455" s="16">
        <f>+'[1]MEASUREMENT BREAK-UP'!DF455</f>
        <v>20</v>
      </c>
      <c r="F455" s="55"/>
      <c r="G455" s="58">
        <f t="shared" si="9"/>
        <v>0</v>
      </c>
    </row>
    <row r="456" spans="1:7" s="60" customFormat="1" ht="20.25" customHeight="1" x14ac:dyDescent="0.25">
      <c r="A456" s="34"/>
      <c r="B456" s="31"/>
      <c r="C456" s="34"/>
      <c r="D456" s="29"/>
      <c r="E456" s="16">
        <f>+'[1]MEASUREMENT BREAK-UP'!DF456</f>
        <v>0</v>
      </c>
      <c r="F456" s="55"/>
      <c r="G456" s="58">
        <f t="shared" si="9"/>
        <v>0</v>
      </c>
    </row>
    <row r="457" spans="1:7" s="60" customFormat="1" ht="38.25" x14ac:dyDescent="0.25">
      <c r="A457" s="34">
        <f>IF(C457="","",COUNTA($C$274:C457))</f>
        <v>37</v>
      </c>
      <c r="B457" s="31" t="s">
        <v>288</v>
      </c>
      <c r="C457" s="34">
        <v>1</v>
      </c>
      <c r="D457" s="29" t="s">
        <v>11</v>
      </c>
      <c r="E457" s="16" t="s">
        <v>17</v>
      </c>
      <c r="F457" s="55"/>
      <c r="G457" s="58">
        <f t="shared" si="9"/>
        <v>0</v>
      </c>
    </row>
    <row r="458" spans="1:7" s="57" customFormat="1" x14ac:dyDescent="0.25">
      <c r="A458" s="34" t="str">
        <f>IF(C458="","",COUNTA($C$274:C458))</f>
        <v/>
      </c>
      <c r="B458" s="31"/>
      <c r="C458" s="34"/>
      <c r="D458" s="29"/>
      <c r="E458" s="16">
        <f>+'[1]MEASUREMENT BREAK-UP'!DF458</f>
        <v>0</v>
      </c>
      <c r="F458" s="55"/>
      <c r="G458" s="58">
        <f t="shared" si="9"/>
        <v>0</v>
      </c>
    </row>
    <row r="459" spans="1:7" s="60" customFormat="1" ht="54" customHeight="1" x14ac:dyDescent="0.25">
      <c r="A459" s="34">
        <f>IF(C459="","",COUNTA($C$274:C459))</f>
        <v>38</v>
      </c>
      <c r="B459" s="31" t="s">
        <v>289</v>
      </c>
      <c r="C459" s="34">
        <v>1</v>
      </c>
      <c r="D459" s="29" t="s">
        <v>11</v>
      </c>
      <c r="E459" s="16">
        <f>+'[1]MEASUREMENT BREAK-UP'!DF459</f>
        <v>0</v>
      </c>
      <c r="F459" s="55"/>
      <c r="G459" s="58">
        <f t="shared" si="9"/>
        <v>0</v>
      </c>
    </row>
    <row r="460" spans="1:7" s="60" customFormat="1" x14ac:dyDescent="0.25">
      <c r="A460" s="34" t="s">
        <v>24</v>
      </c>
      <c r="B460" s="31" t="s">
        <v>290</v>
      </c>
      <c r="C460" s="34"/>
      <c r="D460" s="29" t="s">
        <v>11</v>
      </c>
      <c r="E460" s="16">
        <f>+'[1]MEASUREMENT BREAK-UP'!DF460</f>
        <v>290</v>
      </c>
      <c r="F460" s="55"/>
      <c r="G460" s="58">
        <f t="shared" si="9"/>
        <v>0</v>
      </c>
    </row>
    <row r="461" spans="1:7" s="60" customFormat="1" x14ac:dyDescent="0.25">
      <c r="A461" s="34" t="s">
        <v>26</v>
      </c>
      <c r="B461" s="31" t="s">
        <v>291</v>
      </c>
      <c r="C461" s="34"/>
      <c r="D461" s="29" t="s">
        <v>11</v>
      </c>
      <c r="E461" s="16" t="s">
        <v>17</v>
      </c>
      <c r="F461" s="55"/>
      <c r="G461" s="58">
        <f t="shared" si="9"/>
        <v>0</v>
      </c>
    </row>
    <row r="462" spans="1:7" s="60" customFormat="1" x14ac:dyDescent="0.25">
      <c r="A462" s="34" t="str">
        <f>IF(C462="","",COUNTA($C$274:C462))</f>
        <v/>
      </c>
      <c r="B462" s="31"/>
      <c r="C462" s="34"/>
      <c r="D462" s="29"/>
      <c r="E462" s="16">
        <f>+'[1]MEASUREMENT BREAK-UP'!DF462</f>
        <v>0</v>
      </c>
      <c r="F462" s="55"/>
      <c r="G462" s="58">
        <f t="shared" si="9"/>
        <v>0</v>
      </c>
    </row>
    <row r="463" spans="1:7" s="60" customFormat="1" ht="38.25" x14ac:dyDescent="0.25">
      <c r="A463" s="34">
        <f>IF(C463="","",COUNTA($C$274:C463))</f>
        <v>39</v>
      </c>
      <c r="B463" s="31" t="s">
        <v>292</v>
      </c>
      <c r="C463" s="34">
        <v>1</v>
      </c>
      <c r="D463" s="29"/>
      <c r="E463" s="16">
        <f>+'[1]MEASUREMENT BREAK-UP'!DF463</f>
        <v>0</v>
      </c>
      <c r="F463" s="55"/>
      <c r="G463" s="58">
        <f t="shared" si="9"/>
        <v>0</v>
      </c>
    </row>
    <row r="464" spans="1:7" s="60" customFormat="1" x14ac:dyDescent="0.25">
      <c r="A464" s="36" t="s">
        <v>24</v>
      </c>
      <c r="B464" s="31" t="s">
        <v>293</v>
      </c>
      <c r="C464" s="34"/>
      <c r="D464" s="29" t="s">
        <v>159</v>
      </c>
      <c r="E464" s="16" t="s">
        <v>17</v>
      </c>
      <c r="F464" s="55"/>
      <c r="G464" s="58">
        <f t="shared" si="9"/>
        <v>0</v>
      </c>
    </row>
    <row r="465" spans="1:7" s="60" customFormat="1" x14ac:dyDescent="0.25">
      <c r="A465" s="36" t="s">
        <v>26</v>
      </c>
      <c r="B465" s="31" t="s">
        <v>294</v>
      </c>
      <c r="C465" s="34"/>
      <c r="D465" s="29" t="s">
        <v>159</v>
      </c>
      <c r="E465" s="16" t="s">
        <v>17</v>
      </c>
      <c r="F465" s="55"/>
      <c r="G465" s="58">
        <f t="shared" si="9"/>
        <v>0</v>
      </c>
    </row>
    <row r="466" spans="1:7" s="60" customFormat="1" x14ac:dyDescent="0.25">
      <c r="A466" s="36" t="s">
        <v>26</v>
      </c>
      <c r="B466" s="31" t="s">
        <v>295</v>
      </c>
      <c r="C466" s="34"/>
      <c r="D466" s="29" t="s">
        <v>159</v>
      </c>
      <c r="E466" s="16" t="s">
        <v>17</v>
      </c>
      <c r="F466" s="55"/>
      <c r="G466" s="58">
        <f t="shared" si="9"/>
        <v>0</v>
      </c>
    </row>
    <row r="467" spans="1:7" s="60" customFormat="1" ht="13.5" customHeight="1" x14ac:dyDescent="0.25">
      <c r="A467" s="34"/>
      <c r="B467" s="31"/>
      <c r="C467" s="34"/>
      <c r="D467" s="29"/>
      <c r="E467" s="16">
        <f>+'[1]MEASUREMENT BREAK-UP'!DF467</f>
        <v>0</v>
      </c>
      <c r="F467" s="55"/>
      <c r="G467" s="58">
        <f t="shared" si="9"/>
        <v>0</v>
      </c>
    </row>
    <row r="468" spans="1:7" s="60" customFormat="1" ht="25.5" x14ac:dyDescent="0.25">
      <c r="A468" s="34">
        <f>IF(C468="","",COUNTA($C$274:C468))</f>
        <v>40</v>
      </c>
      <c r="B468" s="31" t="s">
        <v>296</v>
      </c>
      <c r="C468" s="34">
        <v>1</v>
      </c>
      <c r="D468" s="67" t="s">
        <v>297</v>
      </c>
      <c r="E468" s="16">
        <f>+'[1]MEASUREMENT BREAK-UP'!DF468</f>
        <v>1</v>
      </c>
      <c r="F468" s="55"/>
      <c r="G468" s="58">
        <f t="shared" si="9"/>
        <v>0</v>
      </c>
    </row>
    <row r="469" spans="1:7" s="60" customFormat="1" ht="13.5" customHeight="1" x14ac:dyDescent="0.25">
      <c r="A469" s="34"/>
      <c r="B469" s="31"/>
      <c r="C469" s="68"/>
      <c r="D469" s="68"/>
      <c r="E469" s="16">
        <f>+'[1]MEASUREMENT BREAK-UP'!DF469</f>
        <v>0</v>
      </c>
      <c r="F469" s="55"/>
      <c r="G469" s="58">
        <f t="shared" si="9"/>
        <v>0</v>
      </c>
    </row>
    <row r="470" spans="1:7" s="60" customFormat="1" ht="38.25" x14ac:dyDescent="0.25">
      <c r="A470" s="34">
        <f>IF(C470="","",COUNTA($C$274:C470))</f>
        <v>41</v>
      </c>
      <c r="B470" s="31" t="s">
        <v>298</v>
      </c>
      <c r="C470" s="34">
        <v>1</v>
      </c>
      <c r="D470" s="67" t="s">
        <v>297</v>
      </c>
      <c r="E470" s="16">
        <f>+'[1]MEASUREMENT BREAK-UP'!DF470</f>
        <v>1</v>
      </c>
      <c r="F470" s="55"/>
      <c r="G470" s="58">
        <f t="shared" si="9"/>
        <v>0</v>
      </c>
    </row>
    <row r="471" spans="1:7" s="57" customFormat="1" x14ac:dyDescent="0.25">
      <c r="A471" s="50"/>
      <c r="B471" s="31"/>
      <c r="C471" s="31"/>
      <c r="D471" s="29"/>
      <c r="E471" s="16">
        <f>+'[1]MEASUREMENT BREAK-UP'!DF471</f>
        <v>0</v>
      </c>
      <c r="F471" s="55"/>
      <c r="G471" s="69"/>
    </row>
    <row r="472" spans="1:7" s="57" customFormat="1" ht="28.5" customHeight="1" x14ac:dyDescent="0.25">
      <c r="A472" s="39"/>
      <c r="B472" s="40" t="s">
        <v>299</v>
      </c>
      <c r="C472" s="39"/>
      <c r="D472" s="40"/>
      <c r="E472" s="41">
        <f>+'[1]MEASUREMENT BREAK-UP'!DF472</f>
        <v>0</v>
      </c>
      <c r="F472" s="42"/>
      <c r="G472" s="43">
        <f>SUM(G278:G471)</f>
        <v>0</v>
      </c>
    </row>
    <row r="473" spans="1:7" s="57" customFormat="1" x14ac:dyDescent="0.25">
      <c r="A473" s="70"/>
      <c r="B473" s="71"/>
      <c r="C473" s="72"/>
      <c r="D473" s="67"/>
      <c r="E473" s="16">
        <f>+'[1]MEASUREMENT BREAK-UP'!DF473</f>
        <v>0</v>
      </c>
      <c r="F473" s="59"/>
      <c r="G473" s="73"/>
    </row>
    <row r="474" spans="1:7" x14ac:dyDescent="0.25">
      <c r="A474" s="39" t="s">
        <v>300</v>
      </c>
      <c r="B474" s="40" t="s">
        <v>301</v>
      </c>
      <c r="C474" s="49"/>
      <c r="D474" s="29"/>
      <c r="E474" s="16">
        <f>+'[1]MEASUREMENT BREAK-UP'!DF474</f>
        <v>0</v>
      </c>
      <c r="F474" s="55"/>
      <c r="G474" s="69"/>
    </row>
    <row r="475" spans="1:7" ht="16.149999999999999" customHeight="1" x14ac:dyDescent="0.25">
      <c r="A475" s="36" t="str">
        <f>IF(C475="","",COUNTA($C$274:C475))</f>
        <v/>
      </c>
      <c r="B475" s="74"/>
      <c r="C475" s="75"/>
      <c r="D475" s="50"/>
      <c r="E475" s="16">
        <f>+'[1]MEASUREMENT BREAK-UP'!DF475</f>
        <v>0</v>
      </c>
      <c r="F475" s="55"/>
      <c r="G475" s="69"/>
    </row>
    <row r="476" spans="1:7" ht="83.25" customHeight="1" x14ac:dyDescent="0.25">
      <c r="A476" s="36"/>
      <c r="B476" s="76" t="s">
        <v>302</v>
      </c>
      <c r="C476" s="75"/>
      <c r="D476" s="50"/>
      <c r="E476" s="16"/>
      <c r="F476" s="55"/>
      <c r="G476" s="69"/>
    </row>
    <row r="477" spans="1:7" ht="16.149999999999999" customHeight="1" x14ac:dyDescent="0.25">
      <c r="A477" s="36"/>
      <c r="B477" s="74"/>
      <c r="C477" s="75"/>
      <c r="D477" s="50"/>
      <c r="E477" s="16"/>
      <c r="F477" s="55"/>
      <c r="G477" s="69"/>
    </row>
    <row r="478" spans="1:7" ht="60.75" customHeight="1" x14ac:dyDescent="0.25">
      <c r="A478" s="34">
        <f>IF(C478="","",COUNTA($C$475:C478))</f>
        <v>1</v>
      </c>
      <c r="B478" s="31" t="s">
        <v>303</v>
      </c>
      <c r="C478" s="34">
        <v>1</v>
      </c>
      <c r="D478" s="50"/>
      <c r="E478" s="16">
        <f>+'[1]MEASUREMENT BREAK-UP'!DF478</f>
        <v>0</v>
      </c>
      <c r="F478" s="55"/>
      <c r="G478" s="58"/>
    </row>
    <row r="479" spans="1:7" x14ac:dyDescent="0.25">
      <c r="A479" s="34" t="s">
        <v>24</v>
      </c>
      <c r="B479" s="31" t="s">
        <v>304</v>
      </c>
      <c r="C479" s="34"/>
      <c r="D479" s="50" t="s">
        <v>11</v>
      </c>
      <c r="E479" s="16" t="s">
        <v>17</v>
      </c>
      <c r="F479" s="55"/>
      <c r="G479" s="58">
        <f t="shared" ref="G479:G542" si="10">IFERROR(E479*F479,0)</f>
        <v>0</v>
      </c>
    </row>
    <row r="480" spans="1:7" x14ac:dyDescent="0.25">
      <c r="A480" s="34" t="s">
        <v>26</v>
      </c>
      <c r="B480" s="31" t="s">
        <v>305</v>
      </c>
      <c r="C480" s="34"/>
      <c r="D480" s="29" t="s">
        <v>11</v>
      </c>
      <c r="E480" s="16" t="s">
        <v>17</v>
      </c>
      <c r="F480" s="55"/>
      <c r="G480" s="58">
        <f t="shared" si="10"/>
        <v>0</v>
      </c>
    </row>
    <row r="481" spans="1:11" x14ac:dyDescent="0.25">
      <c r="A481" s="34" t="s">
        <v>28</v>
      </c>
      <c r="B481" s="31" t="s">
        <v>306</v>
      </c>
      <c r="C481" s="34"/>
      <c r="D481" s="29" t="s">
        <v>11</v>
      </c>
      <c r="E481" s="16" t="s">
        <v>17</v>
      </c>
      <c r="F481" s="55"/>
      <c r="G481" s="58">
        <f t="shared" si="10"/>
        <v>0</v>
      </c>
    </row>
    <row r="482" spans="1:11" x14ac:dyDescent="0.25">
      <c r="A482" s="34" t="str">
        <f>IF(C482="","",COUNTA($C$475:C482))</f>
        <v/>
      </c>
      <c r="B482" s="49"/>
      <c r="C482" s="34"/>
      <c r="D482" s="29"/>
      <c r="E482" s="16">
        <f>+'[1]MEASUREMENT BREAK-UP'!DF482</f>
        <v>0</v>
      </c>
      <c r="F482" s="55"/>
      <c r="G482" s="58">
        <f t="shared" si="10"/>
        <v>0</v>
      </c>
    </row>
    <row r="483" spans="1:11" ht="20.25" customHeight="1" x14ac:dyDescent="0.25">
      <c r="A483" s="34">
        <f>IF(C483="","",COUNTA($C$475:C483))</f>
        <v>2</v>
      </c>
      <c r="B483" s="49" t="s">
        <v>307</v>
      </c>
      <c r="C483" s="34">
        <v>1</v>
      </c>
      <c r="D483" s="29"/>
      <c r="E483" s="16">
        <f>+'[1]MEASUREMENT BREAK-UP'!DF483</f>
        <v>0</v>
      </c>
      <c r="F483" s="55"/>
      <c r="G483" s="58">
        <f t="shared" si="10"/>
        <v>0</v>
      </c>
    </row>
    <row r="484" spans="1:11" x14ac:dyDescent="0.25">
      <c r="A484" s="36" t="str">
        <f>IF(C484="","",COUNTA($C$475:C484))</f>
        <v/>
      </c>
      <c r="B484" s="31" t="s">
        <v>308</v>
      </c>
      <c r="C484" s="34"/>
      <c r="D484" s="29"/>
      <c r="E484" s="16">
        <f>+'[1]MEASUREMENT BREAK-UP'!DF484</f>
        <v>0</v>
      </c>
      <c r="F484" s="55"/>
      <c r="G484" s="58">
        <f t="shared" si="10"/>
        <v>0</v>
      </c>
    </row>
    <row r="485" spans="1:11" ht="57.75" customHeight="1" x14ac:dyDescent="0.25">
      <c r="A485" s="36" t="str">
        <f>IF(C485="","",COUNTA($C$475:C485))</f>
        <v/>
      </c>
      <c r="B485" s="31" t="s">
        <v>309</v>
      </c>
      <c r="C485" s="34"/>
      <c r="D485" s="29"/>
      <c r="E485" s="16">
        <f>+'[1]MEASUREMENT BREAK-UP'!DF485</f>
        <v>0</v>
      </c>
      <c r="F485" s="55"/>
      <c r="G485" s="58">
        <f t="shared" si="10"/>
        <v>0</v>
      </c>
    </row>
    <row r="486" spans="1:11" ht="132" customHeight="1" x14ac:dyDescent="0.25">
      <c r="A486" s="36" t="str">
        <f>IF(C486="","",COUNTA($C$475:C486))</f>
        <v/>
      </c>
      <c r="B486" s="31" t="s">
        <v>310</v>
      </c>
      <c r="C486" s="34"/>
      <c r="D486" s="29"/>
      <c r="E486" s="16">
        <f>+'[1]MEASUREMENT BREAK-UP'!DF486</f>
        <v>0</v>
      </c>
      <c r="F486" s="55"/>
      <c r="G486" s="58">
        <f t="shared" si="10"/>
        <v>0</v>
      </c>
    </row>
    <row r="487" spans="1:11" ht="38.25" x14ac:dyDescent="0.25">
      <c r="A487" s="36" t="str">
        <f>IF(C487="","",COUNTA($C$475:C487))</f>
        <v/>
      </c>
      <c r="B487" s="31" t="s">
        <v>311</v>
      </c>
      <c r="C487" s="34"/>
      <c r="D487" s="29"/>
      <c r="E487" s="16">
        <f>+'[1]MEASUREMENT BREAK-UP'!DF487</f>
        <v>0</v>
      </c>
      <c r="F487" s="55"/>
      <c r="G487" s="58">
        <f t="shared" si="10"/>
        <v>0</v>
      </c>
    </row>
    <row r="488" spans="1:11" ht="38.25" x14ac:dyDescent="0.25">
      <c r="A488" s="36" t="str">
        <f>IF(C488="","",COUNTA($C$475:C488))</f>
        <v/>
      </c>
      <c r="B488" s="31" t="s">
        <v>312</v>
      </c>
      <c r="C488" s="34"/>
      <c r="D488" s="29"/>
      <c r="E488" s="16">
        <f>+'[1]MEASUREMENT BREAK-UP'!DF488</f>
        <v>0</v>
      </c>
      <c r="F488" s="55"/>
      <c r="G488" s="58">
        <f t="shared" si="10"/>
        <v>0</v>
      </c>
    </row>
    <row r="489" spans="1:11" ht="32.25" customHeight="1" x14ac:dyDescent="0.25">
      <c r="A489" s="36" t="str">
        <f>IF(C489="","",COUNTA($C$475:C489))</f>
        <v/>
      </c>
      <c r="B489" s="31" t="s">
        <v>313</v>
      </c>
      <c r="C489" s="34"/>
      <c r="D489" s="29"/>
      <c r="E489" s="16">
        <f>+'[1]MEASUREMENT BREAK-UP'!DF489</f>
        <v>0</v>
      </c>
      <c r="F489" s="55"/>
      <c r="G489" s="58">
        <f t="shared" si="10"/>
        <v>0</v>
      </c>
    </row>
    <row r="490" spans="1:11" s="12" customFormat="1" ht="24" customHeight="1" x14ac:dyDescent="0.25">
      <c r="A490" s="77" t="s">
        <v>24</v>
      </c>
      <c r="B490" s="49" t="s">
        <v>314</v>
      </c>
      <c r="C490" s="34"/>
      <c r="D490" s="29" t="s">
        <v>315</v>
      </c>
      <c r="E490" s="16">
        <f>+'[1]MEASUREMENT BREAK-UP'!DF490</f>
        <v>1</v>
      </c>
      <c r="F490" s="55"/>
      <c r="G490" s="58">
        <f t="shared" si="10"/>
        <v>0</v>
      </c>
    </row>
    <row r="491" spans="1:11" s="12" customFormat="1" ht="108" customHeight="1" x14ac:dyDescent="0.25">
      <c r="A491" s="36"/>
      <c r="B491" s="31" t="s">
        <v>316</v>
      </c>
      <c r="C491" s="34"/>
      <c r="D491" s="29"/>
      <c r="E491" s="16">
        <f>+'[1]MEASUREMENT BREAK-UP'!DF491</f>
        <v>0</v>
      </c>
      <c r="F491" s="55"/>
      <c r="G491" s="58">
        <f t="shared" si="10"/>
        <v>0</v>
      </c>
    </row>
    <row r="492" spans="1:11" s="12" customFormat="1" ht="16.5" customHeight="1" x14ac:dyDescent="0.25">
      <c r="A492" s="77" t="s">
        <v>26</v>
      </c>
      <c r="B492" s="49" t="s">
        <v>317</v>
      </c>
      <c r="C492" s="34"/>
      <c r="D492" s="29" t="s">
        <v>315</v>
      </c>
      <c r="E492" s="16">
        <f>+'[1]MEASUREMENT BREAK-UP'!DF492</f>
        <v>1</v>
      </c>
      <c r="F492" s="55"/>
      <c r="G492" s="58">
        <f t="shared" si="10"/>
        <v>0</v>
      </c>
    </row>
    <row r="493" spans="1:11" s="12" customFormat="1" ht="109.5" customHeight="1" x14ac:dyDescent="0.25">
      <c r="A493" s="36"/>
      <c r="B493" s="31" t="s">
        <v>318</v>
      </c>
      <c r="C493" s="34"/>
      <c r="D493" s="29"/>
      <c r="E493" s="16">
        <f>+'[1]MEASUREMENT BREAK-UP'!DF493</f>
        <v>0</v>
      </c>
      <c r="F493" s="55"/>
      <c r="G493" s="58">
        <f t="shared" si="10"/>
        <v>0</v>
      </c>
    </row>
    <row r="494" spans="1:11" ht="16.5" customHeight="1" x14ac:dyDescent="0.25">
      <c r="A494" s="77" t="s">
        <v>28</v>
      </c>
      <c r="B494" s="49" t="s">
        <v>319</v>
      </c>
      <c r="C494" s="34"/>
      <c r="D494" s="29" t="s">
        <v>315</v>
      </c>
      <c r="E494" s="16">
        <f>+'[1]MEASUREMENT BREAK-UP'!DF494</f>
        <v>1</v>
      </c>
      <c r="F494" s="55"/>
      <c r="G494" s="58">
        <f t="shared" si="10"/>
        <v>0</v>
      </c>
      <c r="J494" s="12"/>
      <c r="K494" s="12"/>
    </row>
    <row r="495" spans="1:11" ht="108.75" customHeight="1" x14ac:dyDescent="0.25">
      <c r="A495" s="36" t="str">
        <f>IF(C495="","",COUNTA($C$475:C495))</f>
        <v/>
      </c>
      <c r="B495" s="31" t="s">
        <v>320</v>
      </c>
      <c r="C495" s="34"/>
      <c r="D495" s="29"/>
      <c r="E495" s="16">
        <f>+'[1]MEASUREMENT BREAK-UP'!DF495</f>
        <v>0</v>
      </c>
      <c r="F495" s="55"/>
      <c r="G495" s="58">
        <f t="shared" si="10"/>
        <v>0</v>
      </c>
      <c r="J495" s="12"/>
      <c r="K495" s="12"/>
    </row>
    <row r="496" spans="1:11" ht="15" customHeight="1" x14ac:dyDescent="0.25">
      <c r="A496" s="78" t="s">
        <v>49</v>
      </c>
      <c r="B496" s="49" t="s">
        <v>321</v>
      </c>
      <c r="C496" s="34"/>
      <c r="D496" s="79" t="s">
        <v>315</v>
      </c>
      <c r="E496" s="16">
        <f>+'[1]MEASUREMENT BREAK-UP'!DF496</f>
        <v>1</v>
      </c>
      <c r="F496" s="55"/>
      <c r="G496" s="58">
        <f t="shared" si="10"/>
        <v>0</v>
      </c>
      <c r="J496" s="12"/>
      <c r="K496" s="12"/>
    </row>
    <row r="497" spans="1:17" ht="109.5" customHeight="1" x14ac:dyDescent="0.25">
      <c r="A497" s="36" t="str">
        <f>IF(C497="","",COUNTA($C$475:C497))</f>
        <v/>
      </c>
      <c r="B497" s="31" t="s">
        <v>318</v>
      </c>
      <c r="C497" s="34"/>
      <c r="D497" s="29"/>
      <c r="E497" s="16">
        <f>+'[1]MEASUREMENT BREAK-UP'!DF497</f>
        <v>0</v>
      </c>
      <c r="F497" s="55"/>
      <c r="G497" s="58">
        <f t="shared" si="10"/>
        <v>0</v>
      </c>
      <c r="J497" s="12"/>
      <c r="K497" s="12"/>
    </row>
    <row r="498" spans="1:17" ht="16.5" customHeight="1" x14ac:dyDescent="0.25">
      <c r="A498" s="77" t="s">
        <v>67</v>
      </c>
      <c r="B498" s="49" t="s">
        <v>322</v>
      </c>
      <c r="C498" s="34"/>
      <c r="D498" s="29" t="s">
        <v>315</v>
      </c>
      <c r="E498" s="16">
        <f>+'[1]MEASUREMENT BREAK-UP'!DF498</f>
        <v>5</v>
      </c>
      <c r="F498" s="55"/>
      <c r="G498" s="58">
        <f t="shared" si="10"/>
        <v>0</v>
      </c>
    </row>
    <row r="499" spans="1:17" ht="108" customHeight="1" x14ac:dyDescent="0.25">
      <c r="A499" s="36"/>
      <c r="B499" s="31" t="s">
        <v>323</v>
      </c>
      <c r="C499" s="34"/>
      <c r="D499" s="29"/>
      <c r="E499" s="16">
        <f>+'[1]MEASUREMENT BREAK-UP'!DF499</f>
        <v>0</v>
      </c>
      <c r="F499" s="55"/>
      <c r="G499" s="58">
        <f t="shared" si="10"/>
        <v>0</v>
      </c>
    </row>
    <row r="500" spans="1:17" ht="15.75" customHeight="1" x14ac:dyDescent="0.25">
      <c r="A500" s="36"/>
      <c r="B500" s="31"/>
      <c r="C500" s="34"/>
      <c r="D500" s="29"/>
      <c r="E500" s="16">
        <f>+'[1]MEASUREMENT BREAK-UP'!DF500</f>
        <v>0</v>
      </c>
      <c r="F500" s="55"/>
      <c r="G500" s="58">
        <f t="shared" si="10"/>
        <v>0</v>
      </c>
    </row>
    <row r="501" spans="1:17" ht="133.5" customHeight="1" x14ac:dyDescent="0.25">
      <c r="A501" s="80">
        <f>IF(C501="","",COUNTA($C$475:C501))</f>
        <v>3</v>
      </c>
      <c r="B501" s="56" t="s">
        <v>324</v>
      </c>
      <c r="C501" s="34">
        <v>1</v>
      </c>
      <c r="D501" s="29"/>
      <c r="E501" s="16">
        <f>+'[1]MEASUREMENT BREAK-UP'!DF501</f>
        <v>0</v>
      </c>
      <c r="F501" s="55"/>
      <c r="G501" s="58">
        <f t="shared" si="10"/>
        <v>0</v>
      </c>
    </row>
    <row r="502" spans="1:17" ht="82.5" customHeight="1" x14ac:dyDescent="0.25">
      <c r="A502" s="34" t="s">
        <v>24</v>
      </c>
      <c r="B502" s="31" t="s">
        <v>325</v>
      </c>
      <c r="C502" s="34"/>
      <c r="D502" s="29" t="s">
        <v>315</v>
      </c>
      <c r="E502" s="16">
        <f>+'[1]MEASUREMENT BREAK-UP'!DF502</f>
        <v>2</v>
      </c>
      <c r="F502" s="55"/>
      <c r="G502" s="58">
        <f t="shared" si="10"/>
        <v>0</v>
      </c>
      <c r="Q502" s="81"/>
    </row>
    <row r="503" spans="1:17" x14ac:dyDescent="0.25">
      <c r="A503" s="34" t="str">
        <f>IF(C503="","",COUNTA($C$475:C503))</f>
        <v/>
      </c>
      <c r="B503" s="31"/>
      <c r="C503" s="34"/>
      <c r="D503" s="29"/>
      <c r="E503" s="16">
        <f>+'[1]MEASUREMENT BREAK-UP'!DF503</f>
        <v>0</v>
      </c>
      <c r="F503" s="55"/>
      <c r="G503" s="58">
        <f t="shared" si="10"/>
        <v>0</v>
      </c>
    </row>
    <row r="504" spans="1:17" ht="92.25" customHeight="1" x14ac:dyDescent="0.25">
      <c r="A504" s="34">
        <f>IF(C504="","",COUNTA($C$475:C504))</f>
        <v>4</v>
      </c>
      <c r="B504" s="31" t="s">
        <v>326</v>
      </c>
      <c r="C504" s="34">
        <v>1</v>
      </c>
      <c r="D504" s="29"/>
      <c r="E504" s="16">
        <f>+'[1]MEASUREMENT BREAK-UP'!DF504</f>
        <v>0</v>
      </c>
      <c r="F504" s="55"/>
      <c r="G504" s="58">
        <f t="shared" si="10"/>
        <v>0</v>
      </c>
    </row>
    <row r="505" spans="1:17" x14ac:dyDescent="0.25">
      <c r="A505" s="36" t="s">
        <v>24</v>
      </c>
      <c r="B505" s="31" t="s">
        <v>327</v>
      </c>
      <c r="C505" s="34"/>
      <c r="D505" s="29" t="s">
        <v>63</v>
      </c>
      <c r="E505" s="16" t="s">
        <v>17</v>
      </c>
      <c r="F505" s="55"/>
      <c r="G505" s="58">
        <f t="shared" si="10"/>
        <v>0</v>
      </c>
    </row>
    <row r="506" spans="1:17" x14ac:dyDescent="0.25">
      <c r="A506" s="36" t="s">
        <v>26</v>
      </c>
      <c r="B506" s="31" t="s">
        <v>118</v>
      </c>
      <c r="C506" s="34"/>
      <c r="D506" s="29" t="s">
        <v>63</v>
      </c>
      <c r="E506" s="16">
        <f>+'[1]MEASUREMENT BREAK-UP'!DF506</f>
        <v>0</v>
      </c>
      <c r="F506" s="55"/>
      <c r="G506" s="58">
        <f t="shared" si="10"/>
        <v>0</v>
      </c>
    </row>
    <row r="507" spans="1:17" x14ac:dyDescent="0.25">
      <c r="A507" s="36" t="s">
        <v>28</v>
      </c>
      <c r="B507" s="31" t="s">
        <v>119</v>
      </c>
      <c r="C507" s="34"/>
      <c r="D507" s="29" t="s">
        <v>63</v>
      </c>
      <c r="E507" s="16">
        <f>+'[1]MEASUREMENT BREAK-UP'!DF507</f>
        <v>1519</v>
      </c>
      <c r="F507" s="55"/>
      <c r="G507" s="58">
        <f t="shared" si="10"/>
        <v>0</v>
      </c>
    </row>
    <row r="508" spans="1:17" x14ac:dyDescent="0.25">
      <c r="A508" s="36" t="s">
        <v>49</v>
      </c>
      <c r="B508" s="31" t="s">
        <v>328</v>
      </c>
      <c r="C508" s="34"/>
      <c r="D508" s="29" t="s">
        <v>63</v>
      </c>
      <c r="E508" s="16">
        <f>+'[1]MEASUREMENT BREAK-UP'!DF508</f>
        <v>493</v>
      </c>
      <c r="F508" s="55"/>
      <c r="G508" s="58">
        <f t="shared" si="10"/>
        <v>0</v>
      </c>
    </row>
    <row r="509" spans="1:17" x14ac:dyDescent="0.25">
      <c r="A509" s="36" t="s">
        <v>67</v>
      </c>
      <c r="B509" s="31" t="s">
        <v>329</v>
      </c>
      <c r="C509" s="34"/>
      <c r="D509" s="29" t="s">
        <v>63</v>
      </c>
      <c r="E509" s="16">
        <f>+'[1]MEASUREMENT BREAK-UP'!DF509</f>
        <v>21</v>
      </c>
      <c r="F509" s="55"/>
      <c r="G509" s="58">
        <f t="shared" si="10"/>
        <v>0</v>
      </c>
    </row>
    <row r="510" spans="1:17" x14ac:dyDescent="0.25">
      <c r="A510" s="36" t="s">
        <v>69</v>
      </c>
      <c r="B510" s="31" t="s">
        <v>330</v>
      </c>
      <c r="C510" s="34"/>
      <c r="D510" s="29" t="s">
        <v>63</v>
      </c>
      <c r="E510" s="16" t="s">
        <v>17</v>
      </c>
      <c r="F510" s="55"/>
      <c r="G510" s="58">
        <f t="shared" si="10"/>
        <v>0</v>
      </c>
    </row>
    <row r="511" spans="1:17" x14ac:dyDescent="0.25">
      <c r="A511" s="36" t="s">
        <v>72</v>
      </c>
      <c r="B511" s="31" t="s">
        <v>331</v>
      </c>
      <c r="C511" s="34"/>
      <c r="D511" s="29" t="s">
        <v>63</v>
      </c>
      <c r="E511" s="16" t="s">
        <v>17</v>
      </c>
      <c r="F511" s="55"/>
      <c r="G511" s="58">
        <f t="shared" si="10"/>
        <v>0</v>
      </c>
    </row>
    <row r="512" spans="1:17" x14ac:dyDescent="0.25">
      <c r="A512" s="36" t="s">
        <v>74</v>
      </c>
      <c r="B512" s="31" t="s">
        <v>332</v>
      </c>
      <c r="C512" s="34"/>
      <c r="D512" s="29" t="s">
        <v>63</v>
      </c>
      <c r="E512" s="16" t="s">
        <v>17</v>
      </c>
      <c r="F512" s="55"/>
      <c r="G512" s="58">
        <f t="shared" si="10"/>
        <v>0</v>
      </c>
    </row>
    <row r="513" spans="1:7" x14ac:dyDescent="0.25">
      <c r="A513" s="36" t="s">
        <v>76</v>
      </c>
      <c r="B513" s="31" t="s">
        <v>333</v>
      </c>
      <c r="C513" s="34"/>
      <c r="D513" s="29" t="s">
        <v>63</v>
      </c>
      <c r="E513" s="16">
        <f>+'[1]MEASUREMENT BREAK-UP'!DF513</f>
        <v>0</v>
      </c>
      <c r="F513" s="55"/>
      <c r="G513" s="58">
        <f t="shared" si="10"/>
        <v>0</v>
      </c>
    </row>
    <row r="514" spans="1:7" x14ac:dyDescent="0.25">
      <c r="A514" s="36" t="str">
        <f>IF(C514="","",COUNTA($C$475:C514))</f>
        <v/>
      </c>
      <c r="B514" s="31"/>
      <c r="C514" s="34"/>
      <c r="D514" s="29"/>
      <c r="E514" s="16">
        <f>+'[1]MEASUREMENT BREAK-UP'!DF514</f>
        <v>0</v>
      </c>
      <c r="F514" s="55"/>
      <c r="G514" s="58">
        <f t="shared" si="10"/>
        <v>0</v>
      </c>
    </row>
    <row r="515" spans="1:7" ht="40.5" customHeight="1" x14ac:dyDescent="0.25">
      <c r="A515" s="80">
        <f>IF(C515="","",COUNTA($C$475:C515))</f>
        <v>5</v>
      </c>
      <c r="B515" s="31" t="s">
        <v>334</v>
      </c>
      <c r="C515" s="34">
        <v>1</v>
      </c>
      <c r="D515" s="29"/>
      <c r="E515" s="16">
        <f>+'[1]MEASUREMENT BREAK-UP'!DF515</f>
        <v>0</v>
      </c>
      <c r="F515" s="55"/>
      <c r="G515" s="58">
        <f t="shared" si="10"/>
        <v>0</v>
      </c>
    </row>
    <row r="516" spans="1:7" x14ac:dyDescent="0.25">
      <c r="A516" s="34" t="s">
        <v>24</v>
      </c>
      <c r="B516" s="31" t="s">
        <v>86</v>
      </c>
      <c r="C516" s="34"/>
      <c r="D516" s="29" t="s">
        <v>63</v>
      </c>
      <c r="E516" s="16" t="s">
        <v>17</v>
      </c>
      <c r="F516" s="55"/>
      <c r="G516" s="58">
        <f t="shared" si="10"/>
        <v>0</v>
      </c>
    </row>
    <row r="517" spans="1:7" x14ac:dyDescent="0.25">
      <c r="A517" s="34" t="s">
        <v>26</v>
      </c>
      <c r="B517" s="31" t="s">
        <v>88</v>
      </c>
      <c r="C517" s="34"/>
      <c r="D517" s="29" t="s">
        <v>63</v>
      </c>
      <c r="E517" s="16">
        <f>+'[1]MEASUREMENT BREAK-UP'!DF517</f>
        <v>25</v>
      </c>
      <c r="F517" s="55"/>
      <c r="G517" s="58">
        <f t="shared" si="10"/>
        <v>0</v>
      </c>
    </row>
    <row r="518" spans="1:7" x14ac:dyDescent="0.25">
      <c r="A518" s="34" t="s">
        <v>28</v>
      </c>
      <c r="B518" s="31" t="s">
        <v>89</v>
      </c>
      <c r="C518" s="34"/>
      <c r="D518" s="29" t="s">
        <v>63</v>
      </c>
      <c r="E518" s="16">
        <f>+'[1]MEASUREMENT BREAK-UP'!DF518</f>
        <v>53</v>
      </c>
      <c r="F518" s="55"/>
      <c r="G518" s="58">
        <f t="shared" si="10"/>
        <v>0</v>
      </c>
    </row>
    <row r="519" spans="1:7" x14ac:dyDescent="0.25">
      <c r="A519" s="34" t="s">
        <v>49</v>
      </c>
      <c r="B519" s="31" t="s">
        <v>140</v>
      </c>
      <c r="C519" s="34"/>
      <c r="D519" s="29" t="s">
        <v>63</v>
      </c>
      <c r="E519" s="16">
        <f>+'[1]MEASUREMENT BREAK-UP'!DF519</f>
        <v>105</v>
      </c>
      <c r="F519" s="55"/>
      <c r="G519" s="58">
        <f t="shared" si="10"/>
        <v>0</v>
      </c>
    </row>
    <row r="520" spans="1:7" x14ac:dyDescent="0.25">
      <c r="A520" s="34" t="str">
        <f>IF(C520="","",COUNTA($C$475:C520))</f>
        <v/>
      </c>
      <c r="B520" s="31"/>
      <c r="C520" s="34"/>
      <c r="D520" s="29"/>
      <c r="E520" s="16">
        <f>+'[1]MEASUREMENT BREAK-UP'!DF520</f>
        <v>0</v>
      </c>
      <c r="F520" s="55"/>
      <c r="G520" s="58">
        <f t="shared" si="10"/>
        <v>0</v>
      </c>
    </row>
    <row r="521" spans="1:7" ht="64.5" customHeight="1" x14ac:dyDescent="0.25">
      <c r="A521" s="80">
        <f>IF(C521="","",COUNTA($C$475:C521))</f>
        <v>6</v>
      </c>
      <c r="B521" s="31" t="s">
        <v>335</v>
      </c>
      <c r="C521" s="34">
        <v>1</v>
      </c>
      <c r="D521" s="29"/>
      <c r="E521" s="16">
        <f>+'[1]MEASUREMENT BREAK-UP'!DF521</f>
        <v>0</v>
      </c>
      <c r="F521" s="55"/>
      <c r="G521" s="58">
        <f t="shared" si="10"/>
        <v>0</v>
      </c>
    </row>
    <row r="522" spans="1:7" x14ac:dyDescent="0.25">
      <c r="A522" s="34" t="s">
        <v>24</v>
      </c>
      <c r="B522" s="31" t="s">
        <v>336</v>
      </c>
      <c r="C522" s="34"/>
      <c r="D522" s="29" t="s">
        <v>11</v>
      </c>
      <c r="E522" s="16" t="s">
        <v>17</v>
      </c>
      <c r="F522" s="55"/>
      <c r="G522" s="58">
        <f t="shared" si="10"/>
        <v>0</v>
      </c>
    </row>
    <row r="523" spans="1:7" x14ac:dyDescent="0.25">
      <c r="A523" s="34" t="s">
        <v>26</v>
      </c>
      <c r="B523" s="31" t="s">
        <v>115</v>
      </c>
      <c r="C523" s="34"/>
      <c r="D523" s="29" t="s">
        <v>11</v>
      </c>
      <c r="E523" s="16" t="s">
        <v>17</v>
      </c>
      <c r="F523" s="55"/>
      <c r="G523" s="58">
        <f t="shared" si="10"/>
        <v>0</v>
      </c>
    </row>
    <row r="524" spans="1:7" x14ac:dyDescent="0.25">
      <c r="A524" s="34" t="s">
        <v>28</v>
      </c>
      <c r="B524" s="31" t="s">
        <v>116</v>
      </c>
      <c r="C524" s="34"/>
      <c r="D524" s="29" t="s">
        <v>11</v>
      </c>
      <c r="E524" s="16" t="s">
        <v>17</v>
      </c>
      <c r="F524" s="55"/>
      <c r="G524" s="58">
        <f t="shared" si="10"/>
        <v>0</v>
      </c>
    </row>
    <row r="525" spans="1:7" x14ac:dyDescent="0.25">
      <c r="A525" s="34" t="s">
        <v>49</v>
      </c>
      <c r="B525" s="31" t="s">
        <v>327</v>
      </c>
      <c r="C525" s="34"/>
      <c r="D525" s="29" t="s">
        <v>11</v>
      </c>
      <c r="E525" s="16" t="s">
        <v>17</v>
      </c>
      <c r="F525" s="55"/>
      <c r="G525" s="58">
        <f t="shared" si="10"/>
        <v>0</v>
      </c>
    </row>
    <row r="526" spans="1:7" x14ac:dyDescent="0.25">
      <c r="A526" s="34" t="s">
        <v>67</v>
      </c>
      <c r="B526" s="31" t="s">
        <v>118</v>
      </c>
      <c r="C526" s="34"/>
      <c r="D526" s="29" t="s">
        <v>11</v>
      </c>
      <c r="E526" s="16" t="s">
        <v>17</v>
      </c>
      <c r="F526" s="55"/>
      <c r="G526" s="58">
        <f t="shared" si="10"/>
        <v>0</v>
      </c>
    </row>
    <row r="527" spans="1:7" x14ac:dyDescent="0.25">
      <c r="A527" s="34" t="s">
        <v>69</v>
      </c>
      <c r="B527" s="31" t="s">
        <v>119</v>
      </c>
      <c r="C527" s="34"/>
      <c r="D527" s="29" t="s">
        <v>11</v>
      </c>
      <c r="E527" s="16" t="s">
        <v>17</v>
      </c>
      <c r="F527" s="55"/>
      <c r="G527" s="58">
        <f t="shared" si="10"/>
        <v>0</v>
      </c>
    </row>
    <row r="528" spans="1:7" x14ac:dyDescent="0.25">
      <c r="A528" s="34" t="str">
        <f>IF(C528="","",COUNTA($C$475:C528))</f>
        <v/>
      </c>
      <c r="B528" s="31"/>
      <c r="C528" s="34"/>
      <c r="D528" s="29"/>
      <c r="E528" s="16">
        <f>+'[1]MEASUREMENT BREAK-UP'!DF528</f>
        <v>0</v>
      </c>
      <c r="F528" s="55"/>
      <c r="G528" s="58">
        <f t="shared" si="10"/>
        <v>0</v>
      </c>
    </row>
    <row r="529" spans="1:7" ht="38.25" x14ac:dyDescent="0.25">
      <c r="A529" s="80">
        <f>IF(C529="","",COUNTA($C$475:C529))</f>
        <v>7</v>
      </c>
      <c r="B529" s="31" t="s">
        <v>337</v>
      </c>
      <c r="C529" s="34">
        <v>1</v>
      </c>
      <c r="D529" s="29"/>
      <c r="E529" s="16">
        <f>+'[1]MEASUREMENT BREAK-UP'!DF529</f>
        <v>0</v>
      </c>
      <c r="F529" s="55"/>
      <c r="G529" s="58">
        <f t="shared" si="10"/>
        <v>0</v>
      </c>
    </row>
    <row r="530" spans="1:7" x14ac:dyDescent="0.25">
      <c r="A530" s="34" t="s">
        <v>24</v>
      </c>
      <c r="B530" s="31" t="s">
        <v>328</v>
      </c>
      <c r="C530" s="34"/>
      <c r="D530" s="29" t="s">
        <v>11</v>
      </c>
      <c r="E530" s="16">
        <f>+'[1]MEASUREMENT BREAK-UP'!DF530</f>
        <v>0</v>
      </c>
      <c r="F530" s="55"/>
      <c r="G530" s="58">
        <f t="shared" si="10"/>
        <v>0</v>
      </c>
    </row>
    <row r="531" spans="1:7" x14ac:dyDescent="0.25">
      <c r="A531" s="34" t="s">
        <v>26</v>
      </c>
      <c r="B531" s="31" t="s">
        <v>329</v>
      </c>
      <c r="C531" s="34"/>
      <c r="D531" s="29" t="s">
        <v>11</v>
      </c>
      <c r="E531" s="16">
        <f>+'[1]MEASUREMENT BREAK-UP'!DF531</f>
        <v>5</v>
      </c>
      <c r="F531" s="55"/>
      <c r="G531" s="58">
        <f t="shared" si="10"/>
        <v>0</v>
      </c>
    </row>
    <row r="532" spans="1:7" x14ac:dyDescent="0.25">
      <c r="A532" s="34" t="s">
        <v>28</v>
      </c>
      <c r="B532" s="31" t="s">
        <v>330</v>
      </c>
      <c r="C532" s="34"/>
      <c r="D532" s="29" t="s">
        <v>11</v>
      </c>
      <c r="E532" s="16">
        <f>+'[1]MEASUREMENT BREAK-UP'!DF532</f>
        <v>9</v>
      </c>
      <c r="F532" s="55"/>
      <c r="G532" s="58">
        <f t="shared" si="10"/>
        <v>0</v>
      </c>
    </row>
    <row r="533" spans="1:7" x14ac:dyDescent="0.25">
      <c r="A533" s="34" t="s">
        <v>49</v>
      </c>
      <c r="B533" s="31" t="s">
        <v>331</v>
      </c>
      <c r="C533" s="34"/>
      <c r="D533" s="29" t="s">
        <v>11</v>
      </c>
      <c r="E533" s="16" t="s">
        <v>17</v>
      </c>
      <c r="F533" s="55"/>
      <c r="G533" s="58">
        <f t="shared" si="10"/>
        <v>0</v>
      </c>
    </row>
    <row r="534" spans="1:7" x14ac:dyDescent="0.25">
      <c r="A534" s="34" t="s">
        <v>67</v>
      </c>
      <c r="B534" s="31" t="s">
        <v>338</v>
      </c>
      <c r="C534" s="34"/>
      <c r="D534" s="29" t="s">
        <v>11</v>
      </c>
      <c r="E534" s="16" t="s">
        <v>17</v>
      </c>
      <c r="F534" s="55"/>
      <c r="G534" s="58">
        <f t="shared" si="10"/>
        <v>0</v>
      </c>
    </row>
    <row r="535" spans="1:7" x14ac:dyDescent="0.25">
      <c r="A535" s="34" t="s">
        <v>69</v>
      </c>
      <c r="B535" s="31" t="s">
        <v>339</v>
      </c>
      <c r="C535" s="34"/>
      <c r="D535" s="29" t="s">
        <v>11</v>
      </c>
      <c r="E535" s="16">
        <f>+'[1]MEASUREMENT BREAK-UP'!DF535</f>
        <v>0</v>
      </c>
      <c r="F535" s="55"/>
      <c r="G535" s="58">
        <f t="shared" si="10"/>
        <v>0</v>
      </c>
    </row>
    <row r="536" spans="1:7" x14ac:dyDescent="0.25">
      <c r="A536" s="34" t="str">
        <f>IF(C536="","",COUNTA($C$475:C536))</f>
        <v/>
      </c>
      <c r="B536" s="31"/>
      <c r="C536" s="34"/>
      <c r="D536" s="29"/>
      <c r="E536" s="16">
        <f>+'[1]MEASUREMENT BREAK-UP'!DF536</f>
        <v>0</v>
      </c>
      <c r="F536" s="55"/>
      <c r="G536" s="58">
        <f t="shared" si="10"/>
        <v>0</v>
      </c>
    </row>
    <row r="537" spans="1:7" s="12" customFormat="1" ht="51" x14ac:dyDescent="0.25">
      <c r="A537" s="80">
        <f>IF(C537="","",COUNTA($C$475:C537))</f>
        <v>8</v>
      </c>
      <c r="B537" s="31" t="s">
        <v>340</v>
      </c>
      <c r="C537" s="34">
        <v>1</v>
      </c>
      <c r="D537" s="29"/>
      <c r="E537" s="16">
        <f>+'[1]MEASUREMENT BREAK-UP'!DF537</f>
        <v>0</v>
      </c>
      <c r="F537" s="55"/>
      <c r="G537" s="58">
        <f t="shared" si="10"/>
        <v>0</v>
      </c>
    </row>
    <row r="538" spans="1:7" x14ac:dyDescent="0.25">
      <c r="A538" s="34" t="s">
        <v>24</v>
      </c>
      <c r="B538" s="31" t="s">
        <v>86</v>
      </c>
      <c r="C538" s="34"/>
      <c r="D538" s="29" t="s">
        <v>11</v>
      </c>
      <c r="E538" s="16" t="s">
        <v>17</v>
      </c>
      <c r="F538" s="55"/>
      <c r="G538" s="58">
        <f t="shared" si="10"/>
        <v>0</v>
      </c>
    </row>
    <row r="539" spans="1:7" x14ac:dyDescent="0.25">
      <c r="A539" s="34" t="s">
        <v>26</v>
      </c>
      <c r="B539" s="31" t="s">
        <v>88</v>
      </c>
      <c r="C539" s="34"/>
      <c r="D539" s="29" t="s">
        <v>11</v>
      </c>
      <c r="E539" s="16">
        <f>+'[1]MEASUREMENT BREAK-UP'!DF539</f>
        <v>8</v>
      </c>
      <c r="F539" s="55"/>
      <c r="G539" s="58">
        <f t="shared" si="10"/>
        <v>0</v>
      </c>
    </row>
    <row r="540" spans="1:7" x14ac:dyDescent="0.25">
      <c r="A540" s="34" t="s">
        <v>28</v>
      </c>
      <c r="B540" s="31" t="s">
        <v>132</v>
      </c>
      <c r="C540" s="34"/>
      <c r="D540" s="29" t="s">
        <v>11</v>
      </c>
      <c r="E540" s="16" t="s">
        <v>17</v>
      </c>
      <c r="F540" s="55"/>
      <c r="G540" s="58">
        <f t="shared" si="10"/>
        <v>0</v>
      </c>
    </row>
    <row r="541" spans="1:7" x14ac:dyDescent="0.25">
      <c r="A541" s="34" t="s">
        <v>49</v>
      </c>
      <c r="B541" s="31" t="s">
        <v>133</v>
      </c>
      <c r="C541" s="34"/>
      <c r="D541" s="29" t="s">
        <v>11</v>
      </c>
      <c r="E541" s="16">
        <f>+'[1]MEASUREMENT BREAK-UP'!DF541</f>
        <v>4</v>
      </c>
      <c r="F541" s="55"/>
      <c r="G541" s="58">
        <f t="shared" si="10"/>
        <v>0</v>
      </c>
    </row>
    <row r="542" spans="1:7" x14ac:dyDescent="0.25">
      <c r="A542" s="34" t="s">
        <v>67</v>
      </c>
      <c r="B542" s="31" t="s">
        <v>134</v>
      </c>
      <c r="C542" s="34"/>
      <c r="D542" s="29" t="s">
        <v>11</v>
      </c>
      <c r="E542" s="16" t="s">
        <v>17</v>
      </c>
      <c r="F542" s="55"/>
      <c r="G542" s="58">
        <f t="shared" si="10"/>
        <v>0</v>
      </c>
    </row>
    <row r="543" spans="1:7" x14ac:dyDescent="0.25">
      <c r="A543" s="34" t="str">
        <f>IF(C543="","",COUNTA($C$475:C543))</f>
        <v/>
      </c>
      <c r="B543" s="31"/>
      <c r="C543" s="34"/>
      <c r="D543" s="29"/>
      <c r="E543" s="16">
        <f>+'[1]MEASUREMENT BREAK-UP'!DF543</f>
        <v>0</v>
      </c>
      <c r="F543" s="55"/>
      <c r="G543" s="58">
        <f t="shared" ref="G543:G557" si="11">IFERROR(E543*F543,0)</f>
        <v>0</v>
      </c>
    </row>
    <row r="544" spans="1:7" s="12" customFormat="1" ht="57" customHeight="1" x14ac:dyDescent="0.25">
      <c r="A544" s="80">
        <f>IF(C544="","",COUNTA($C$475:C544))</f>
        <v>9</v>
      </c>
      <c r="B544" s="31" t="s">
        <v>135</v>
      </c>
      <c r="C544" s="34">
        <v>1</v>
      </c>
      <c r="D544" s="29"/>
      <c r="E544" s="16">
        <f>+'[1]MEASUREMENT BREAK-UP'!DF544</f>
        <v>0</v>
      </c>
      <c r="F544" s="17"/>
      <c r="G544" s="58">
        <f t="shared" si="11"/>
        <v>0</v>
      </c>
    </row>
    <row r="545" spans="1:7" x14ac:dyDescent="0.25">
      <c r="A545" s="34" t="s">
        <v>24</v>
      </c>
      <c r="B545" s="31" t="s">
        <v>136</v>
      </c>
      <c r="C545" s="34"/>
      <c r="D545" s="29" t="s">
        <v>11</v>
      </c>
      <c r="E545" s="16">
        <f>+'[1]MEASUREMENT BREAK-UP'!DF545</f>
        <v>0</v>
      </c>
      <c r="F545" s="17"/>
      <c r="G545" s="58">
        <f t="shared" si="11"/>
        <v>0</v>
      </c>
    </row>
    <row r="546" spans="1:7" x14ac:dyDescent="0.25">
      <c r="A546" s="34" t="s">
        <v>26</v>
      </c>
      <c r="B546" s="31" t="s">
        <v>137</v>
      </c>
      <c r="C546" s="34"/>
      <c r="D546" s="29" t="s">
        <v>11</v>
      </c>
      <c r="E546" s="16">
        <f>+'[1]MEASUREMENT BREAK-UP'!DF546</f>
        <v>0</v>
      </c>
      <c r="F546" s="17"/>
      <c r="G546" s="58">
        <f t="shared" si="11"/>
        <v>0</v>
      </c>
    </row>
    <row r="547" spans="1:7" x14ac:dyDescent="0.25">
      <c r="A547" s="34" t="s">
        <v>28</v>
      </c>
      <c r="B547" s="31" t="s">
        <v>138</v>
      </c>
      <c r="C547" s="34"/>
      <c r="D547" s="29" t="s">
        <v>11</v>
      </c>
      <c r="E547" s="16">
        <f>+'[1]MEASUREMENT BREAK-UP'!DF547</f>
        <v>0</v>
      </c>
      <c r="F547" s="17"/>
      <c r="G547" s="58">
        <f t="shared" si="11"/>
        <v>0</v>
      </c>
    </row>
    <row r="548" spans="1:7" x14ac:dyDescent="0.25">
      <c r="A548" s="34" t="str">
        <f>IF(C548="","",COUNTA($C$475:C548))</f>
        <v/>
      </c>
      <c r="B548" s="31"/>
      <c r="C548" s="34"/>
      <c r="D548" s="29"/>
      <c r="E548" s="16">
        <f>+'[1]MEASUREMENT BREAK-UP'!DF548</f>
        <v>0</v>
      </c>
      <c r="F548" s="55"/>
      <c r="G548" s="58">
        <f t="shared" si="11"/>
        <v>0</v>
      </c>
    </row>
    <row r="549" spans="1:7" ht="38.25" x14ac:dyDescent="0.25">
      <c r="A549" s="80">
        <f>IF(C549="","",COUNTA($C$475:C549))</f>
        <v>10</v>
      </c>
      <c r="B549" s="31" t="s">
        <v>341</v>
      </c>
      <c r="C549" s="34">
        <v>1</v>
      </c>
      <c r="D549" s="29"/>
      <c r="E549" s="16">
        <f>+'[1]MEASUREMENT BREAK-UP'!DF549</f>
        <v>0</v>
      </c>
      <c r="F549" s="55"/>
      <c r="G549" s="58">
        <f t="shared" si="11"/>
        <v>0</v>
      </c>
    </row>
    <row r="550" spans="1:7" x14ac:dyDescent="0.25">
      <c r="A550" s="34" t="s">
        <v>24</v>
      </c>
      <c r="B550" s="31" t="s">
        <v>86</v>
      </c>
      <c r="C550" s="34"/>
      <c r="D550" s="29" t="s">
        <v>11</v>
      </c>
      <c r="E550" s="16" t="s">
        <v>17</v>
      </c>
      <c r="F550" s="55"/>
      <c r="G550" s="58">
        <f t="shared" si="11"/>
        <v>0</v>
      </c>
    </row>
    <row r="551" spans="1:7" x14ac:dyDescent="0.25">
      <c r="A551" s="34" t="s">
        <v>26</v>
      </c>
      <c r="B551" s="31" t="s">
        <v>88</v>
      </c>
      <c r="C551" s="34"/>
      <c r="D551" s="29" t="s">
        <v>11</v>
      </c>
      <c r="E551" s="16">
        <f>+'[1]MEASUREMENT BREAK-UP'!DF551</f>
        <v>8</v>
      </c>
      <c r="F551" s="55"/>
      <c r="G551" s="58">
        <f t="shared" si="11"/>
        <v>0</v>
      </c>
    </row>
    <row r="552" spans="1:7" x14ac:dyDescent="0.25">
      <c r="A552" s="34" t="s">
        <v>28</v>
      </c>
      <c r="B552" s="31" t="s">
        <v>89</v>
      </c>
      <c r="C552" s="34"/>
      <c r="D552" s="29" t="s">
        <v>11</v>
      </c>
      <c r="E552" s="16" t="s">
        <v>17</v>
      </c>
      <c r="F552" s="55"/>
      <c r="G552" s="58">
        <f t="shared" si="11"/>
        <v>0</v>
      </c>
    </row>
    <row r="553" spans="1:7" x14ac:dyDescent="0.25">
      <c r="A553" s="34" t="s">
        <v>49</v>
      </c>
      <c r="B553" s="31" t="s">
        <v>140</v>
      </c>
      <c r="C553" s="34"/>
      <c r="D553" s="29" t="s">
        <v>11</v>
      </c>
      <c r="E553" s="16" t="s">
        <v>17</v>
      </c>
      <c r="F553" s="55"/>
      <c r="G553" s="58">
        <f t="shared" si="11"/>
        <v>0</v>
      </c>
    </row>
    <row r="554" spans="1:7" x14ac:dyDescent="0.25">
      <c r="A554" s="34" t="s">
        <v>67</v>
      </c>
      <c r="B554" s="31" t="s">
        <v>136</v>
      </c>
      <c r="C554" s="34"/>
      <c r="D554" s="29" t="s">
        <v>11</v>
      </c>
      <c r="E554" s="16" t="s">
        <v>17</v>
      </c>
      <c r="F554" s="55"/>
      <c r="G554" s="58">
        <f t="shared" si="11"/>
        <v>0</v>
      </c>
    </row>
    <row r="555" spans="1:7" x14ac:dyDescent="0.25">
      <c r="A555" s="34" t="s">
        <v>69</v>
      </c>
      <c r="B555" s="31" t="s">
        <v>137</v>
      </c>
      <c r="C555" s="34"/>
      <c r="D555" s="29" t="s">
        <v>11</v>
      </c>
      <c r="E555" s="16" t="s">
        <v>17</v>
      </c>
      <c r="F555" s="17"/>
      <c r="G555" s="58">
        <f t="shared" si="11"/>
        <v>0</v>
      </c>
    </row>
    <row r="556" spans="1:7" x14ac:dyDescent="0.25">
      <c r="A556" s="34" t="s">
        <v>72</v>
      </c>
      <c r="B556" s="31" t="s">
        <v>138</v>
      </c>
      <c r="C556" s="34"/>
      <c r="D556" s="29" t="s">
        <v>11</v>
      </c>
      <c r="E556" s="16">
        <f>+'[1]MEASUREMENT BREAK-UP'!DF556</f>
        <v>0</v>
      </c>
      <c r="F556" s="17"/>
      <c r="G556" s="58">
        <f t="shared" si="11"/>
        <v>0</v>
      </c>
    </row>
    <row r="557" spans="1:7" x14ac:dyDescent="0.25">
      <c r="A557" s="34"/>
      <c r="B557" s="56"/>
      <c r="C557" s="31"/>
      <c r="D557" s="29"/>
      <c r="E557" s="16">
        <f>+'[1]MEASUREMENT BREAK-UP'!DF557</f>
        <v>0</v>
      </c>
      <c r="F557" s="55"/>
      <c r="G557" s="69"/>
    </row>
    <row r="558" spans="1:7" x14ac:dyDescent="0.25">
      <c r="A558" s="39"/>
      <c r="B558" s="40" t="s">
        <v>342</v>
      </c>
      <c r="C558" s="39"/>
      <c r="D558" s="40"/>
      <c r="E558" s="41">
        <f>+'[1]MEASUREMENT BREAK-UP'!DF558</f>
        <v>0</v>
      </c>
      <c r="F558" s="42"/>
      <c r="G558" s="82">
        <f>SUM(G479:G557)</f>
        <v>0</v>
      </c>
    </row>
    <row r="559" spans="1:7" x14ac:dyDescent="0.25">
      <c r="A559" s="50"/>
      <c r="B559" s="56"/>
      <c r="C559" s="31"/>
      <c r="D559" s="29"/>
      <c r="E559" s="16">
        <f>+'[1]MEASUREMENT BREAK-UP'!DF559</f>
        <v>0</v>
      </c>
      <c r="F559" s="55"/>
      <c r="G559" s="48"/>
    </row>
    <row r="560" spans="1:7" x14ac:dyDescent="0.25">
      <c r="A560" s="39" t="s">
        <v>343</v>
      </c>
      <c r="B560" s="40" t="s">
        <v>344</v>
      </c>
      <c r="C560" s="49"/>
      <c r="D560" s="29"/>
      <c r="E560" s="16">
        <f>+'[1]MEASUREMENT BREAK-UP'!DF560</f>
        <v>0</v>
      </c>
      <c r="F560" s="55"/>
      <c r="G560" s="48"/>
    </row>
    <row r="561" spans="1:7" ht="14.25" customHeight="1" x14ac:dyDescent="0.25">
      <c r="A561" s="36"/>
      <c r="B561" s="51"/>
      <c r="C561" s="49"/>
      <c r="D561" s="29"/>
      <c r="E561" s="16">
        <f>+'[1]MEASUREMENT BREAK-UP'!DF561</f>
        <v>0</v>
      </c>
      <c r="F561" s="22"/>
      <c r="G561" s="25"/>
    </row>
    <row r="562" spans="1:7" ht="38.25" x14ac:dyDescent="0.25">
      <c r="A562" s="34">
        <f>IF(C562="","",COUNTA($C$561:C562))</f>
        <v>1</v>
      </c>
      <c r="B562" s="31" t="s">
        <v>345</v>
      </c>
      <c r="C562" s="34">
        <v>1</v>
      </c>
      <c r="D562" s="29" t="s">
        <v>11</v>
      </c>
      <c r="E562" s="16">
        <f>+'[1]MEASUREMENT BREAK-UP'!DF562</f>
        <v>20</v>
      </c>
      <c r="F562" s="22"/>
      <c r="G562" s="35">
        <f t="shared" ref="G562:G610" si="12">IFERROR(E562*F562,0)</f>
        <v>0</v>
      </c>
    </row>
    <row r="563" spans="1:7" x14ac:dyDescent="0.25">
      <c r="A563" s="34" t="str">
        <f>IF(C563="","",COUNTA($C$561:C563))</f>
        <v/>
      </c>
      <c r="B563" s="31"/>
      <c r="C563" s="34"/>
      <c r="D563" s="29"/>
      <c r="E563" s="16">
        <f>+'[1]MEASUREMENT BREAK-UP'!DF563</f>
        <v>0</v>
      </c>
      <c r="F563" s="22"/>
      <c r="G563" s="35">
        <f t="shared" si="12"/>
        <v>0</v>
      </c>
    </row>
    <row r="564" spans="1:7" s="12" customFormat="1" ht="93.75" customHeight="1" x14ac:dyDescent="0.25">
      <c r="A564" s="34">
        <f>IF(C564="","",COUNTA($C$561:C564))</f>
        <v>2</v>
      </c>
      <c r="B564" s="31" t="s">
        <v>346</v>
      </c>
      <c r="C564" s="34">
        <v>1</v>
      </c>
      <c r="D564" s="29"/>
      <c r="E564" s="16">
        <f>+'[1]MEASUREMENT BREAK-UP'!DF564</f>
        <v>0</v>
      </c>
      <c r="F564" s="22"/>
      <c r="G564" s="35">
        <f t="shared" si="12"/>
        <v>0</v>
      </c>
    </row>
    <row r="565" spans="1:7" x14ac:dyDescent="0.25">
      <c r="A565" s="34" t="s">
        <v>24</v>
      </c>
      <c r="B565" s="31" t="s">
        <v>347</v>
      </c>
      <c r="C565" s="34"/>
      <c r="D565" s="29" t="s">
        <v>11</v>
      </c>
      <c r="E565" s="16" t="s">
        <v>17</v>
      </c>
      <c r="F565" s="22"/>
      <c r="G565" s="35">
        <f t="shared" si="12"/>
        <v>0</v>
      </c>
    </row>
    <row r="566" spans="1:7" x14ac:dyDescent="0.25">
      <c r="A566" s="34" t="s">
        <v>26</v>
      </c>
      <c r="B566" s="31" t="s">
        <v>348</v>
      </c>
      <c r="C566" s="34"/>
      <c r="D566" s="29" t="s">
        <v>11</v>
      </c>
      <c r="E566" s="16" t="s">
        <v>17</v>
      </c>
      <c r="F566" s="22"/>
      <c r="G566" s="35">
        <f t="shared" si="12"/>
        <v>0</v>
      </c>
    </row>
    <row r="567" spans="1:7" x14ac:dyDescent="0.25">
      <c r="A567" s="34" t="s">
        <v>28</v>
      </c>
      <c r="B567" s="31" t="s">
        <v>349</v>
      </c>
      <c r="C567" s="34"/>
      <c r="D567" s="29" t="s">
        <v>11</v>
      </c>
      <c r="E567" s="16" t="s">
        <v>17</v>
      </c>
      <c r="F567" s="22"/>
      <c r="G567" s="35">
        <f t="shared" si="12"/>
        <v>0</v>
      </c>
    </row>
    <row r="568" spans="1:7" x14ac:dyDescent="0.25">
      <c r="A568" s="34" t="s">
        <v>49</v>
      </c>
      <c r="B568" s="31" t="s">
        <v>350</v>
      </c>
      <c r="C568" s="34"/>
      <c r="D568" s="29" t="s">
        <v>11</v>
      </c>
      <c r="E568" s="16" t="s">
        <v>17</v>
      </c>
      <c r="F568" s="22"/>
      <c r="G568" s="35">
        <f t="shared" si="12"/>
        <v>0</v>
      </c>
    </row>
    <row r="569" spans="1:7" x14ac:dyDescent="0.25">
      <c r="A569" s="34" t="s">
        <v>67</v>
      </c>
      <c r="B569" s="31" t="s">
        <v>351</v>
      </c>
      <c r="C569" s="34"/>
      <c r="D569" s="29" t="s">
        <v>11</v>
      </c>
      <c r="E569" s="16" t="s">
        <v>17</v>
      </c>
      <c r="F569" s="22"/>
      <c r="G569" s="35">
        <f t="shared" si="12"/>
        <v>0</v>
      </c>
    </row>
    <row r="570" spans="1:7" x14ac:dyDescent="0.25">
      <c r="A570" s="34" t="s">
        <v>69</v>
      </c>
      <c r="B570" s="31" t="s">
        <v>352</v>
      </c>
      <c r="C570" s="34"/>
      <c r="D570" s="29" t="s">
        <v>11</v>
      </c>
      <c r="E570" s="16" t="s">
        <v>17</v>
      </c>
      <c r="F570" s="22"/>
      <c r="G570" s="35">
        <f t="shared" si="12"/>
        <v>0</v>
      </c>
    </row>
    <row r="571" spans="1:7" x14ac:dyDescent="0.25">
      <c r="A571" s="34" t="s">
        <v>72</v>
      </c>
      <c r="B571" s="31" t="s">
        <v>353</v>
      </c>
      <c r="C571" s="34"/>
      <c r="D571" s="29" t="s">
        <v>11</v>
      </c>
      <c r="E571" s="16" t="s">
        <v>17</v>
      </c>
      <c r="F571" s="22"/>
      <c r="G571" s="35"/>
    </row>
    <row r="572" spans="1:7" x14ac:dyDescent="0.25">
      <c r="A572" s="34" t="s">
        <v>74</v>
      </c>
      <c r="B572" s="31" t="s">
        <v>354</v>
      </c>
      <c r="C572" s="34"/>
      <c r="D572" s="29" t="s">
        <v>11</v>
      </c>
      <c r="E572" s="16" t="s">
        <v>17</v>
      </c>
      <c r="F572" s="22"/>
      <c r="G572" s="35">
        <f t="shared" si="12"/>
        <v>0</v>
      </c>
    </row>
    <row r="573" spans="1:7" x14ac:dyDescent="0.25">
      <c r="A573" s="34" t="s">
        <v>76</v>
      </c>
      <c r="B573" s="31" t="s">
        <v>355</v>
      </c>
      <c r="C573" s="34"/>
      <c r="D573" s="29" t="s">
        <v>11</v>
      </c>
      <c r="E573" s="16" t="s">
        <v>17</v>
      </c>
      <c r="F573" s="22"/>
      <c r="G573" s="35">
        <f t="shared" si="12"/>
        <v>0</v>
      </c>
    </row>
    <row r="574" spans="1:7" x14ac:dyDescent="0.25">
      <c r="A574" s="34" t="str">
        <f>IF(C574="","",COUNTA($C$561:C574))</f>
        <v/>
      </c>
      <c r="B574" s="31"/>
      <c r="C574" s="34"/>
      <c r="D574" s="29"/>
      <c r="E574" s="16">
        <f>+'[1]MEASUREMENT BREAK-UP'!DF574</f>
        <v>0</v>
      </c>
      <c r="F574" s="22"/>
      <c r="G574" s="35">
        <f t="shared" si="12"/>
        <v>0</v>
      </c>
    </row>
    <row r="575" spans="1:7" x14ac:dyDescent="0.25">
      <c r="A575" s="34">
        <f>IF(C575="","",COUNTA($C$561:C575))</f>
        <v>3</v>
      </c>
      <c r="B575" s="49" t="s">
        <v>356</v>
      </c>
      <c r="C575" s="34">
        <v>1</v>
      </c>
      <c r="D575" s="29"/>
      <c r="E575" s="16">
        <f>+'[1]MEASUREMENT BREAK-UP'!DF575</f>
        <v>0</v>
      </c>
      <c r="F575" s="22"/>
      <c r="G575" s="35">
        <f t="shared" si="12"/>
        <v>0</v>
      </c>
    </row>
    <row r="576" spans="1:7" ht="53.25" customHeight="1" x14ac:dyDescent="0.25">
      <c r="A576" s="34" t="str">
        <f>IF(C576="","",COUNTA($C$561:C576))</f>
        <v/>
      </c>
      <c r="B576" s="31" t="s">
        <v>357</v>
      </c>
      <c r="C576" s="34"/>
      <c r="D576" s="29" t="s">
        <v>358</v>
      </c>
      <c r="E576" s="16">
        <f>+'[1]MEASUREMENT BREAK-UP'!DF576</f>
        <v>700</v>
      </c>
      <c r="F576" s="22"/>
      <c r="G576" s="35">
        <f t="shared" si="12"/>
        <v>0</v>
      </c>
    </row>
    <row r="577" spans="1:7" x14ac:dyDescent="0.25">
      <c r="A577" s="34" t="str">
        <f>IF(C577="","",COUNTA($C$561:C577))</f>
        <v/>
      </c>
      <c r="B577" s="31"/>
      <c r="C577" s="34"/>
      <c r="D577" s="29"/>
      <c r="E577" s="16">
        <f>+'[1]MEASUREMENT BREAK-UP'!DF577</f>
        <v>0</v>
      </c>
      <c r="F577" s="22"/>
      <c r="G577" s="35">
        <f t="shared" si="12"/>
        <v>0</v>
      </c>
    </row>
    <row r="578" spans="1:7" ht="56.25" customHeight="1" x14ac:dyDescent="0.25">
      <c r="A578" s="34">
        <f>IF(C578="","",COUNTA($C$561:C578))</f>
        <v>4</v>
      </c>
      <c r="B578" s="31" t="s">
        <v>359</v>
      </c>
      <c r="C578" s="34">
        <v>1</v>
      </c>
      <c r="D578" s="29"/>
      <c r="E578" s="16">
        <f>+'[1]MEASUREMENT BREAK-UP'!DF578</f>
        <v>0</v>
      </c>
      <c r="F578" s="22"/>
      <c r="G578" s="35">
        <f t="shared" si="12"/>
        <v>0</v>
      </c>
    </row>
    <row r="579" spans="1:7" x14ac:dyDescent="0.25">
      <c r="A579" s="34" t="s">
        <v>24</v>
      </c>
      <c r="B579" s="31" t="s">
        <v>360</v>
      </c>
      <c r="C579" s="34"/>
      <c r="D579" s="29" t="s">
        <v>11</v>
      </c>
      <c r="E579" s="16">
        <f>+'[1]MEASUREMENT BREAK-UP'!DF579</f>
        <v>0</v>
      </c>
      <c r="F579" s="22"/>
      <c r="G579" s="35">
        <f t="shared" si="12"/>
        <v>0</v>
      </c>
    </row>
    <row r="580" spans="1:7" x14ac:dyDescent="0.25">
      <c r="A580" s="34" t="s">
        <v>26</v>
      </c>
      <c r="B580" s="31" t="s">
        <v>361</v>
      </c>
      <c r="C580" s="34"/>
      <c r="D580" s="29" t="s">
        <v>11</v>
      </c>
      <c r="E580" s="16">
        <f>+'[1]MEASUREMENT BREAK-UP'!DF580</f>
        <v>0</v>
      </c>
      <c r="F580" s="22"/>
      <c r="G580" s="35">
        <f t="shared" si="12"/>
        <v>0</v>
      </c>
    </row>
    <row r="581" spans="1:7" x14ac:dyDescent="0.25">
      <c r="A581" s="34" t="s">
        <v>28</v>
      </c>
      <c r="B581" s="31" t="s">
        <v>362</v>
      </c>
      <c r="C581" s="34"/>
      <c r="D581" s="29" t="s">
        <v>11</v>
      </c>
      <c r="E581" s="16" t="s">
        <v>17</v>
      </c>
      <c r="F581" s="22"/>
      <c r="G581" s="35">
        <f t="shared" si="12"/>
        <v>0</v>
      </c>
    </row>
    <row r="582" spans="1:7" x14ac:dyDescent="0.25">
      <c r="A582" s="34" t="s">
        <v>49</v>
      </c>
      <c r="B582" s="31" t="s">
        <v>363</v>
      </c>
      <c r="C582" s="34"/>
      <c r="D582" s="29" t="s">
        <v>11</v>
      </c>
      <c r="E582" s="16" t="s">
        <v>17</v>
      </c>
      <c r="F582" s="22"/>
      <c r="G582" s="35">
        <f t="shared" si="12"/>
        <v>0</v>
      </c>
    </row>
    <row r="583" spans="1:7" x14ac:dyDescent="0.25">
      <c r="A583" s="34" t="s">
        <v>67</v>
      </c>
      <c r="B583" s="31" t="s">
        <v>364</v>
      </c>
      <c r="C583" s="34"/>
      <c r="D583" s="29" t="s">
        <v>11</v>
      </c>
      <c r="E583" s="16" t="s">
        <v>17</v>
      </c>
      <c r="F583" s="22"/>
      <c r="G583" s="35">
        <f t="shared" si="12"/>
        <v>0</v>
      </c>
    </row>
    <row r="584" spans="1:7" x14ac:dyDescent="0.25">
      <c r="A584" s="34" t="str">
        <f>IF(C584="","",COUNTA($C$561:C584))</f>
        <v/>
      </c>
      <c r="B584" s="31"/>
      <c r="C584" s="34"/>
      <c r="D584" s="29"/>
      <c r="E584" s="16">
        <f>+'[1]MEASUREMENT BREAK-UP'!DF584</f>
        <v>0</v>
      </c>
      <c r="F584" s="22"/>
      <c r="G584" s="35">
        <f t="shared" si="12"/>
        <v>0</v>
      </c>
    </row>
    <row r="585" spans="1:7" ht="40.5" customHeight="1" x14ac:dyDescent="0.25">
      <c r="A585" s="34">
        <f>IF(C585="","",COUNTA($C$561:C585))</f>
        <v>5</v>
      </c>
      <c r="B585" s="31" t="s">
        <v>365</v>
      </c>
      <c r="C585" s="34">
        <v>1</v>
      </c>
      <c r="D585" s="29"/>
      <c r="E585" s="16">
        <f>+'[1]MEASUREMENT BREAK-UP'!DF585</f>
        <v>0</v>
      </c>
      <c r="F585" s="22"/>
      <c r="G585" s="35">
        <f t="shared" si="12"/>
        <v>0</v>
      </c>
    </row>
    <row r="586" spans="1:7" x14ac:dyDescent="0.25">
      <c r="A586" s="34" t="s">
        <v>24</v>
      </c>
      <c r="B586" s="31" t="s">
        <v>366</v>
      </c>
      <c r="C586" s="34"/>
      <c r="D586" s="29" t="s">
        <v>11</v>
      </c>
      <c r="E586" s="16" t="s">
        <v>17</v>
      </c>
      <c r="F586" s="22"/>
      <c r="G586" s="35">
        <f t="shared" si="12"/>
        <v>0</v>
      </c>
    </row>
    <row r="587" spans="1:7" x14ac:dyDescent="0.25">
      <c r="A587" s="34" t="s">
        <v>26</v>
      </c>
      <c r="B587" s="31" t="s">
        <v>367</v>
      </c>
      <c r="C587" s="34"/>
      <c r="D587" s="29" t="s">
        <v>11</v>
      </c>
      <c r="E587" s="16" t="s">
        <v>17</v>
      </c>
      <c r="F587" s="22"/>
      <c r="G587" s="35">
        <f t="shared" si="12"/>
        <v>0</v>
      </c>
    </row>
    <row r="588" spans="1:7" x14ac:dyDescent="0.25">
      <c r="A588" s="34" t="s">
        <v>28</v>
      </c>
      <c r="B588" s="31" t="s">
        <v>368</v>
      </c>
      <c r="C588" s="34"/>
      <c r="D588" s="29" t="s">
        <v>11</v>
      </c>
      <c r="E588" s="16" t="s">
        <v>17</v>
      </c>
      <c r="F588" s="22"/>
      <c r="G588" s="35">
        <f t="shared" si="12"/>
        <v>0</v>
      </c>
    </row>
    <row r="589" spans="1:7" x14ac:dyDescent="0.25">
      <c r="A589" s="34" t="s">
        <v>49</v>
      </c>
      <c r="B589" s="31" t="s">
        <v>369</v>
      </c>
      <c r="C589" s="34"/>
      <c r="D589" s="29" t="s">
        <v>11</v>
      </c>
      <c r="E589" s="16" t="s">
        <v>17</v>
      </c>
      <c r="F589" s="22"/>
      <c r="G589" s="35">
        <f t="shared" si="12"/>
        <v>0</v>
      </c>
    </row>
    <row r="590" spans="1:7" x14ac:dyDescent="0.25">
      <c r="A590" s="34" t="s">
        <v>67</v>
      </c>
      <c r="B590" s="31" t="s">
        <v>370</v>
      </c>
      <c r="C590" s="34"/>
      <c r="D590" s="29" t="s">
        <v>11</v>
      </c>
      <c r="E590" s="16" t="s">
        <v>17</v>
      </c>
      <c r="F590" s="22"/>
      <c r="G590" s="35">
        <f t="shared" si="12"/>
        <v>0</v>
      </c>
    </row>
    <row r="591" spans="1:7" x14ac:dyDescent="0.25">
      <c r="A591" s="34" t="s">
        <v>69</v>
      </c>
      <c r="B591" s="31" t="s">
        <v>371</v>
      </c>
      <c r="C591" s="34"/>
      <c r="D591" s="29" t="s">
        <v>11</v>
      </c>
      <c r="E591" s="16" t="s">
        <v>17</v>
      </c>
      <c r="F591" s="22"/>
      <c r="G591" s="35">
        <f t="shared" si="12"/>
        <v>0</v>
      </c>
    </row>
    <row r="592" spans="1:7" x14ac:dyDescent="0.25">
      <c r="A592" s="34" t="s">
        <v>72</v>
      </c>
      <c r="B592" s="31" t="s">
        <v>372</v>
      </c>
      <c r="C592" s="34"/>
      <c r="D592" s="29" t="s">
        <v>11</v>
      </c>
      <c r="E592" s="16" t="s">
        <v>17</v>
      </c>
      <c r="F592" s="22"/>
      <c r="G592" s="35">
        <f t="shared" si="12"/>
        <v>0</v>
      </c>
    </row>
    <row r="593" spans="1:7" x14ac:dyDescent="0.25">
      <c r="A593" s="34" t="s">
        <v>74</v>
      </c>
      <c r="B593" s="31" t="s">
        <v>373</v>
      </c>
      <c r="C593" s="34"/>
      <c r="D593" s="29" t="s">
        <v>11</v>
      </c>
      <c r="E593" s="16" t="s">
        <v>17</v>
      </c>
      <c r="F593" s="22"/>
      <c r="G593" s="35">
        <f t="shared" si="12"/>
        <v>0</v>
      </c>
    </row>
    <row r="594" spans="1:7" x14ac:dyDescent="0.25">
      <c r="A594" s="34" t="s">
        <v>76</v>
      </c>
      <c r="B594" s="31" t="s">
        <v>374</v>
      </c>
      <c r="C594" s="34"/>
      <c r="D594" s="29" t="s">
        <v>11</v>
      </c>
      <c r="E594" s="16" t="s">
        <v>17</v>
      </c>
      <c r="F594" s="22"/>
      <c r="G594" s="35">
        <f t="shared" si="12"/>
        <v>0</v>
      </c>
    </row>
    <row r="595" spans="1:7" x14ac:dyDescent="0.25">
      <c r="A595" s="34" t="s">
        <v>78</v>
      </c>
      <c r="B595" s="31" t="s">
        <v>375</v>
      </c>
      <c r="C595" s="34"/>
      <c r="D595" s="29" t="s">
        <v>11</v>
      </c>
      <c r="E595" s="16" t="s">
        <v>17</v>
      </c>
      <c r="F595" s="22"/>
      <c r="G595" s="35">
        <f t="shared" si="12"/>
        <v>0</v>
      </c>
    </row>
    <row r="596" spans="1:7" x14ac:dyDescent="0.25">
      <c r="A596" s="34" t="s">
        <v>188</v>
      </c>
      <c r="B596" s="31" t="s">
        <v>376</v>
      </c>
      <c r="C596" s="34"/>
      <c r="D596" s="29" t="s">
        <v>11</v>
      </c>
      <c r="E596" s="16" t="s">
        <v>17</v>
      </c>
      <c r="F596" s="22"/>
      <c r="G596" s="35">
        <f t="shared" si="12"/>
        <v>0</v>
      </c>
    </row>
    <row r="597" spans="1:7" x14ac:dyDescent="0.25">
      <c r="A597" s="34" t="s">
        <v>377</v>
      </c>
      <c r="B597" s="31" t="s">
        <v>378</v>
      </c>
      <c r="C597" s="34"/>
      <c r="D597" s="29" t="s">
        <v>11</v>
      </c>
      <c r="E597" s="16" t="s">
        <v>17</v>
      </c>
      <c r="F597" s="22"/>
      <c r="G597" s="35">
        <f t="shared" si="12"/>
        <v>0</v>
      </c>
    </row>
    <row r="598" spans="1:7" x14ac:dyDescent="0.25">
      <c r="A598" s="34" t="s">
        <v>379</v>
      </c>
      <c r="B598" s="31" t="s">
        <v>380</v>
      </c>
      <c r="C598" s="34"/>
      <c r="D598" s="29" t="s">
        <v>11</v>
      </c>
      <c r="E598" s="16" t="s">
        <v>17</v>
      </c>
      <c r="F598" s="22"/>
      <c r="G598" s="35">
        <f t="shared" si="12"/>
        <v>0</v>
      </c>
    </row>
    <row r="599" spans="1:7" x14ac:dyDescent="0.25">
      <c r="A599" s="34" t="s">
        <v>381</v>
      </c>
      <c r="B599" s="31" t="s">
        <v>382</v>
      </c>
      <c r="C599" s="34"/>
      <c r="D599" s="29" t="s">
        <v>11</v>
      </c>
      <c r="E599" s="16" t="s">
        <v>17</v>
      </c>
      <c r="F599" s="22"/>
      <c r="G599" s="35">
        <f t="shared" si="12"/>
        <v>0</v>
      </c>
    </row>
    <row r="600" spans="1:7" x14ac:dyDescent="0.25">
      <c r="A600" s="34" t="s">
        <v>383</v>
      </c>
      <c r="B600" s="31" t="s">
        <v>384</v>
      </c>
      <c r="C600" s="34"/>
      <c r="D600" s="29" t="s">
        <v>11</v>
      </c>
      <c r="E600" s="16" t="s">
        <v>17</v>
      </c>
      <c r="F600" s="22"/>
      <c r="G600" s="35">
        <f t="shared" si="12"/>
        <v>0</v>
      </c>
    </row>
    <row r="601" spans="1:7" x14ac:dyDescent="0.25">
      <c r="A601" s="34" t="s">
        <v>385</v>
      </c>
      <c r="B601" s="31" t="s">
        <v>386</v>
      </c>
      <c r="C601" s="34"/>
      <c r="D601" s="29" t="s">
        <v>11</v>
      </c>
      <c r="E601" s="16" t="s">
        <v>17</v>
      </c>
      <c r="F601" s="22"/>
      <c r="G601" s="35">
        <f t="shared" si="12"/>
        <v>0</v>
      </c>
    </row>
    <row r="602" spans="1:7" x14ac:dyDescent="0.25">
      <c r="A602" s="34" t="s">
        <v>387</v>
      </c>
      <c r="B602" s="31" t="s">
        <v>388</v>
      </c>
      <c r="C602" s="34"/>
      <c r="D602" s="29" t="s">
        <v>11</v>
      </c>
      <c r="E602" s="16" t="s">
        <v>17</v>
      </c>
      <c r="F602" s="22"/>
      <c r="G602" s="35">
        <f t="shared" si="12"/>
        <v>0</v>
      </c>
    </row>
    <row r="603" spans="1:7" x14ac:dyDescent="0.25">
      <c r="A603" s="34" t="s">
        <v>389</v>
      </c>
      <c r="B603" s="31" t="s">
        <v>390</v>
      </c>
      <c r="C603" s="34"/>
      <c r="D603" s="29" t="s">
        <v>11</v>
      </c>
      <c r="E603" s="16" t="s">
        <v>17</v>
      </c>
      <c r="F603" s="22"/>
      <c r="G603" s="35">
        <f t="shared" si="12"/>
        <v>0</v>
      </c>
    </row>
    <row r="604" spans="1:7" x14ac:dyDescent="0.25">
      <c r="A604" s="34" t="str">
        <f>IF(C604="","",COUNTA($C$561:C604))</f>
        <v/>
      </c>
      <c r="B604" s="31"/>
      <c r="C604" s="34"/>
      <c r="D604" s="22"/>
      <c r="E604" s="16">
        <f>+'[1]MEASUREMENT BREAK-UP'!DF604</f>
        <v>0</v>
      </c>
      <c r="F604" s="22"/>
      <c r="G604" s="35">
        <f t="shared" si="12"/>
        <v>0</v>
      </c>
    </row>
    <row r="605" spans="1:7" ht="79.5" customHeight="1" x14ac:dyDescent="0.25">
      <c r="A605" s="34">
        <f>IF(C605="","",COUNTA($C$561:C605))</f>
        <v>6</v>
      </c>
      <c r="B605" s="31" t="s">
        <v>391</v>
      </c>
      <c r="C605" s="34">
        <v>1</v>
      </c>
      <c r="D605" s="29" t="s">
        <v>11</v>
      </c>
      <c r="E605" s="16" t="s">
        <v>17</v>
      </c>
      <c r="F605" s="22"/>
      <c r="G605" s="35">
        <f t="shared" si="12"/>
        <v>0</v>
      </c>
    </row>
    <row r="606" spans="1:7" x14ac:dyDescent="0.25">
      <c r="A606" s="34" t="str">
        <f>IF(C606="","",COUNTA($C$561:C606))</f>
        <v/>
      </c>
      <c r="B606" s="31"/>
      <c r="C606" s="34"/>
      <c r="D606" s="29"/>
      <c r="E606" s="16">
        <f>+'[1]MEASUREMENT BREAK-UP'!DF606</f>
        <v>0</v>
      </c>
      <c r="F606" s="22"/>
      <c r="G606" s="35">
        <f t="shared" si="12"/>
        <v>0</v>
      </c>
    </row>
    <row r="607" spans="1:7" ht="51" x14ac:dyDescent="0.25">
      <c r="A607" s="34">
        <f>IF(C607="","",COUNTA($C$561:C607))</f>
        <v>7</v>
      </c>
      <c r="B607" s="31" t="s">
        <v>392</v>
      </c>
      <c r="C607" s="34">
        <v>1</v>
      </c>
      <c r="D607" s="29" t="s">
        <v>11</v>
      </c>
      <c r="E607" s="16" t="s">
        <v>17</v>
      </c>
      <c r="F607" s="22"/>
      <c r="G607" s="35">
        <f t="shared" si="12"/>
        <v>0</v>
      </c>
    </row>
    <row r="608" spans="1:7" x14ac:dyDescent="0.25">
      <c r="A608" s="34"/>
      <c r="B608" s="31"/>
      <c r="C608" s="34"/>
      <c r="D608" s="29"/>
      <c r="E608" s="16">
        <f>+'[1]MEASUREMENT BREAK-UP'!DF608</f>
        <v>0</v>
      </c>
      <c r="F608" s="22"/>
      <c r="G608" s="35">
        <f t="shared" si="12"/>
        <v>0</v>
      </c>
    </row>
    <row r="609" spans="1:7" ht="89.25" x14ac:dyDescent="0.25">
      <c r="A609" s="34">
        <f>IF(C609="","",COUNTA($C$561:C609))</f>
        <v>8</v>
      </c>
      <c r="B609" s="31" t="s">
        <v>393</v>
      </c>
      <c r="C609" s="34">
        <v>1</v>
      </c>
      <c r="D609" s="67" t="s">
        <v>11</v>
      </c>
      <c r="E609" s="16">
        <f>+'[1]MEASUREMENT BREAK-UP'!DF609</f>
        <v>0</v>
      </c>
      <c r="F609" s="22"/>
      <c r="G609" s="35">
        <f t="shared" si="12"/>
        <v>0</v>
      </c>
    </row>
    <row r="610" spans="1:7" x14ac:dyDescent="0.25">
      <c r="A610" s="36"/>
      <c r="B610" s="31"/>
      <c r="C610" s="31"/>
      <c r="D610" s="29"/>
      <c r="E610" s="16">
        <f>+'[1]MEASUREMENT BREAK-UP'!DF610</f>
        <v>0</v>
      </c>
      <c r="F610" s="22"/>
      <c r="G610" s="35">
        <f t="shared" si="12"/>
        <v>0</v>
      </c>
    </row>
    <row r="611" spans="1:7" x14ac:dyDescent="0.25">
      <c r="A611" s="39"/>
      <c r="B611" s="40" t="s">
        <v>394</v>
      </c>
      <c r="C611" s="39"/>
      <c r="D611" s="40"/>
      <c r="E611" s="41">
        <f>+'[1]MEASUREMENT BREAK-UP'!DF611</f>
        <v>0</v>
      </c>
      <c r="F611" s="42"/>
      <c r="G611" s="43">
        <f>SUM(G562:G610)</f>
        <v>0</v>
      </c>
    </row>
    <row r="612" spans="1:7" x14ac:dyDescent="0.25">
      <c r="A612" s="83"/>
      <c r="B612" s="84"/>
      <c r="C612" s="24"/>
      <c r="D612" s="22"/>
      <c r="E612" s="16">
        <f>+'[1]MEASUREMENT BREAK-UP'!DF612</f>
        <v>0</v>
      </c>
      <c r="F612" s="22"/>
      <c r="G612" s="25"/>
    </row>
    <row r="613" spans="1:7" x14ac:dyDescent="0.25">
      <c r="A613" s="39" t="s">
        <v>395</v>
      </c>
      <c r="B613" s="40" t="s">
        <v>396</v>
      </c>
      <c r="C613" s="75"/>
      <c r="D613" s="22"/>
      <c r="E613" s="16">
        <f>+'[1]MEASUREMENT BREAK-UP'!DF613</f>
        <v>0</v>
      </c>
      <c r="F613" s="22"/>
      <c r="G613" s="85"/>
    </row>
    <row r="614" spans="1:7" x14ac:dyDescent="0.25">
      <c r="A614" s="86"/>
      <c r="B614" s="74"/>
      <c r="C614" s="75"/>
      <c r="D614" s="22"/>
      <c r="E614" s="16"/>
      <c r="F614" s="22"/>
      <c r="G614" s="85"/>
    </row>
    <row r="615" spans="1:7" ht="45" customHeight="1" x14ac:dyDescent="0.25">
      <c r="A615" s="34">
        <f>IF(C615="","",COUNTA($C$615:C615))</f>
        <v>1</v>
      </c>
      <c r="B615" s="31" t="s">
        <v>397</v>
      </c>
      <c r="C615" s="34">
        <v>1</v>
      </c>
      <c r="D615" s="67"/>
      <c r="E615" s="16">
        <f>+'[1]MEASUREMENT BREAK-UP'!DF615</f>
        <v>0</v>
      </c>
      <c r="F615" s="22"/>
      <c r="G615" s="25"/>
    </row>
    <row r="616" spans="1:7" ht="146.25" customHeight="1" x14ac:dyDescent="0.25">
      <c r="A616" s="34" t="s">
        <v>24</v>
      </c>
      <c r="B616" s="31" t="s">
        <v>398</v>
      </c>
      <c r="C616" s="34"/>
      <c r="D616" s="67"/>
      <c r="E616" s="16">
        <f>+'[1]MEASUREMENT BREAK-UP'!DF616</f>
        <v>0</v>
      </c>
      <c r="F616" s="22"/>
      <c r="G616" s="25"/>
    </row>
    <row r="617" spans="1:7" ht="119.25" customHeight="1" x14ac:dyDescent="0.25">
      <c r="A617" s="34" t="s">
        <v>26</v>
      </c>
      <c r="B617" s="31" t="s">
        <v>399</v>
      </c>
      <c r="C617" s="34"/>
      <c r="D617" s="67"/>
      <c r="E617" s="16">
        <f>+'[1]MEASUREMENT BREAK-UP'!DF617</f>
        <v>0</v>
      </c>
      <c r="F617" s="22"/>
      <c r="G617" s="25"/>
    </row>
    <row r="618" spans="1:7" ht="187.5" customHeight="1" x14ac:dyDescent="0.25">
      <c r="A618" s="34" t="s">
        <v>28</v>
      </c>
      <c r="B618" s="31" t="s">
        <v>400</v>
      </c>
      <c r="C618" s="34"/>
      <c r="D618" s="67"/>
      <c r="E618" s="16">
        <f>+'[1]MEASUREMENT BREAK-UP'!DF618</f>
        <v>0</v>
      </c>
      <c r="F618" s="22"/>
      <c r="G618" s="35">
        <f t="shared" ref="G618:G619" si="13">IFERROR(E618*F618,0)</f>
        <v>0</v>
      </c>
    </row>
    <row r="619" spans="1:7" ht="15.75" customHeight="1" x14ac:dyDescent="0.25">
      <c r="A619" s="34"/>
      <c r="B619" s="49" t="s">
        <v>401</v>
      </c>
      <c r="C619" s="34"/>
      <c r="D619" s="67" t="s">
        <v>315</v>
      </c>
      <c r="E619" s="16">
        <f>+'[1]MEASUREMENT BREAK-UP'!DF619</f>
        <v>2</v>
      </c>
      <c r="F619" s="22"/>
      <c r="G619" s="35">
        <f t="shared" si="13"/>
        <v>0</v>
      </c>
    </row>
    <row r="620" spans="1:7" x14ac:dyDescent="0.25">
      <c r="A620" s="53"/>
      <c r="B620" s="31"/>
      <c r="C620" s="53"/>
      <c r="D620" s="87"/>
      <c r="E620" s="16"/>
      <c r="F620" s="22"/>
      <c r="G620" s="25"/>
    </row>
    <row r="621" spans="1:7" ht="30" x14ac:dyDescent="0.25">
      <c r="A621" s="88"/>
      <c r="B621" s="89" t="s">
        <v>402</v>
      </c>
      <c r="C621" s="88"/>
      <c r="D621" s="89"/>
      <c r="E621" s="88">
        <f>+'[1]MEASUREMENT BREAK-UP'!DF621</f>
        <v>0</v>
      </c>
      <c r="F621" s="89"/>
      <c r="G621" s="90">
        <f>SUM(G615:G620)</f>
        <v>0</v>
      </c>
    </row>
    <row r="622" spans="1:7" x14ac:dyDescent="0.25">
      <c r="A622" s="83"/>
      <c r="B622" s="84"/>
      <c r="C622" s="24"/>
      <c r="D622" s="22"/>
      <c r="E622" s="16">
        <f>+'[1]MEASUREMENT BREAK-UP'!DF622</f>
        <v>0</v>
      </c>
      <c r="F622" s="22"/>
      <c r="G622" s="24"/>
    </row>
    <row r="623" spans="1:7" x14ac:dyDescent="0.25">
      <c r="A623" s="88" t="s">
        <v>403</v>
      </c>
      <c r="B623" s="89" t="s">
        <v>404</v>
      </c>
      <c r="C623" s="91"/>
      <c r="D623" s="22"/>
      <c r="E623" s="16">
        <f>+'[1]MEASUREMENT BREAK-UP'!DF623</f>
        <v>0</v>
      </c>
      <c r="F623" s="22"/>
      <c r="G623" s="92"/>
    </row>
    <row r="624" spans="1:7" x14ac:dyDescent="0.25">
      <c r="A624" s="93"/>
      <c r="B624" s="93"/>
      <c r="C624" s="91"/>
      <c r="D624" s="22"/>
      <c r="E624" s="16"/>
      <c r="F624" s="22"/>
      <c r="G624" s="92"/>
    </row>
    <row r="625" spans="1:7" x14ac:dyDescent="0.25">
      <c r="A625" s="67"/>
      <c r="B625" s="94" t="s">
        <v>405</v>
      </c>
      <c r="C625" s="95"/>
      <c r="D625" s="67"/>
      <c r="E625" s="16">
        <f>+'[1]MEASUREMENT BREAK-UP'!DF625</f>
        <v>0</v>
      </c>
      <c r="F625" s="22"/>
      <c r="G625" s="24"/>
    </row>
    <row r="626" spans="1:7" x14ac:dyDescent="0.25">
      <c r="A626" s="34">
        <f>IF(C626="","",COUNTA($C$626:C626))</f>
        <v>1</v>
      </c>
      <c r="B626" s="96" t="s">
        <v>406</v>
      </c>
      <c r="C626" s="34">
        <v>1</v>
      </c>
      <c r="D626" s="67"/>
      <c r="E626" s="16">
        <f>+'[1]MEASUREMENT BREAK-UP'!DF626</f>
        <v>0</v>
      </c>
      <c r="F626" s="22"/>
      <c r="G626" s="24"/>
    </row>
    <row r="627" spans="1:7" ht="267" customHeight="1" x14ac:dyDescent="0.25">
      <c r="A627" s="34" t="str">
        <f>IF(C627="","",COUNTA($C$626:C627))</f>
        <v/>
      </c>
      <c r="B627" s="31" t="s">
        <v>407</v>
      </c>
      <c r="C627" s="34"/>
      <c r="D627" s="67"/>
      <c r="E627" s="16">
        <f>+'[1]MEASUREMENT BREAK-UP'!DF627</f>
        <v>0</v>
      </c>
      <c r="F627" s="22"/>
      <c r="G627" s="25"/>
    </row>
    <row r="628" spans="1:7" ht="51" x14ac:dyDescent="0.25">
      <c r="A628" s="34" t="str">
        <f>IF(C628="","",COUNTA($C$626:C628))</f>
        <v/>
      </c>
      <c r="B628" s="31" t="s">
        <v>408</v>
      </c>
      <c r="C628" s="34"/>
      <c r="D628" s="67"/>
      <c r="E628" s="16">
        <f>+'[1]MEASUREMENT BREAK-UP'!DF628</f>
        <v>0</v>
      </c>
      <c r="F628" s="22"/>
      <c r="G628" s="35">
        <f t="shared" ref="G628:G636" si="14">IFERROR(E628*F628,0)</f>
        <v>0</v>
      </c>
    </row>
    <row r="629" spans="1:7" x14ac:dyDescent="0.25">
      <c r="A629" s="34" t="str">
        <f>IF(C629="","",COUNTA($C$626:C629))</f>
        <v/>
      </c>
      <c r="B629" s="31" t="s">
        <v>409</v>
      </c>
      <c r="C629" s="34"/>
      <c r="D629" s="67"/>
      <c r="E629" s="16">
        <f>+'[1]MEASUREMENT BREAK-UP'!DF629</f>
        <v>0</v>
      </c>
      <c r="F629" s="22"/>
      <c r="G629" s="35">
        <f t="shared" si="14"/>
        <v>0</v>
      </c>
    </row>
    <row r="630" spans="1:7" x14ac:dyDescent="0.25">
      <c r="A630" s="34" t="str">
        <f>IF(C630="","",COUNTA($C$626:C630))</f>
        <v/>
      </c>
      <c r="B630" s="31" t="s">
        <v>410</v>
      </c>
      <c r="C630" s="34"/>
      <c r="D630" s="67"/>
      <c r="E630" s="16">
        <f>+'[1]MEASUREMENT BREAK-UP'!DF630</f>
        <v>0</v>
      </c>
      <c r="F630" s="22"/>
      <c r="G630" s="35">
        <f t="shared" si="14"/>
        <v>0</v>
      </c>
    </row>
    <row r="631" spans="1:7" ht="25.5" x14ac:dyDescent="0.25">
      <c r="A631" s="34" t="str">
        <f>IF(C631="","",COUNTA($C$626:C631))</f>
        <v/>
      </c>
      <c r="B631" s="31" t="s">
        <v>411</v>
      </c>
      <c r="C631" s="34"/>
      <c r="D631" s="67"/>
      <c r="E631" s="16">
        <f>+'[1]MEASUREMENT BREAK-UP'!DF631</f>
        <v>0</v>
      </c>
      <c r="F631" s="22"/>
      <c r="G631" s="35">
        <f t="shared" si="14"/>
        <v>0</v>
      </c>
    </row>
    <row r="632" spans="1:7" ht="38.25" x14ac:dyDescent="0.25">
      <c r="A632" s="34" t="str">
        <f>IF(C632="","",COUNTA($C$626:C632))</f>
        <v/>
      </c>
      <c r="B632" s="31" t="s">
        <v>412</v>
      </c>
      <c r="C632" s="34"/>
      <c r="D632" s="67"/>
      <c r="E632" s="16">
        <f>+'[1]MEASUREMENT BREAK-UP'!DF632</f>
        <v>0</v>
      </c>
      <c r="F632" s="22"/>
      <c r="G632" s="35">
        <f t="shared" si="14"/>
        <v>0</v>
      </c>
    </row>
    <row r="633" spans="1:7" x14ac:dyDescent="0.25">
      <c r="A633" s="34" t="str">
        <f>IF(C633="","",COUNTA($C$626:C633))</f>
        <v/>
      </c>
      <c r="B633" s="49" t="s">
        <v>413</v>
      </c>
      <c r="C633" s="34"/>
      <c r="D633" s="67" t="s">
        <v>414</v>
      </c>
      <c r="E633" s="16">
        <f>+'[1]MEASUREMENT BREAK-UP'!DF633</f>
        <v>0</v>
      </c>
      <c r="F633" s="22"/>
      <c r="G633" s="35">
        <f t="shared" si="14"/>
        <v>0</v>
      </c>
    </row>
    <row r="634" spans="1:7" ht="30" customHeight="1" x14ac:dyDescent="0.25">
      <c r="A634" s="34" t="str">
        <f>IF(C634="","",COUNTA($C$626:C634))</f>
        <v/>
      </c>
      <c r="B634" s="49" t="s">
        <v>415</v>
      </c>
      <c r="C634" s="34"/>
      <c r="D634" s="67" t="s">
        <v>414</v>
      </c>
      <c r="E634" s="16">
        <f>+'[1]MEASUREMENT BREAK-UP'!DF634</f>
        <v>0</v>
      </c>
      <c r="F634" s="22"/>
      <c r="G634" s="35">
        <f t="shared" si="14"/>
        <v>0</v>
      </c>
    </row>
    <row r="635" spans="1:7" ht="30.75" customHeight="1" x14ac:dyDescent="0.25">
      <c r="A635" s="34" t="str">
        <f>IF(C635="","",COUNTA($C$626:C635))</f>
        <v/>
      </c>
      <c r="B635" s="49" t="s">
        <v>416</v>
      </c>
      <c r="C635" s="34"/>
      <c r="D635" s="67" t="s">
        <v>414</v>
      </c>
      <c r="E635" s="16">
        <f>+'[1]MEASUREMENT BREAK-UP'!DF635</f>
        <v>0</v>
      </c>
      <c r="F635" s="22"/>
      <c r="G635" s="35">
        <f t="shared" si="14"/>
        <v>0</v>
      </c>
    </row>
    <row r="636" spans="1:7" ht="146.25" customHeight="1" x14ac:dyDescent="0.25">
      <c r="A636" s="34" t="str">
        <f>IF(C636="","",COUNTA($C$626:C636))</f>
        <v/>
      </c>
      <c r="B636" s="97" t="s">
        <v>417</v>
      </c>
      <c r="C636" s="34"/>
      <c r="D636" s="67" t="s">
        <v>11</v>
      </c>
      <c r="E636" s="16">
        <f>+'[1]MEASUREMENT BREAK-UP'!DF636</f>
        <v>0</v>
      </c>
      <c r="F636" s="22"/>
      <c r="G636" s="35">
        <f t="shared" si="14"/>
        <v>0</v>
      </c>
    </row>
    <row r="637" spans="1:7" x14ac:dyDescent="0.25">
      <c r="A637" s="67"/>
      <c r="B637" s="31"/>
      <c r="C637" s="98"/>
      <c r="D637" s="67"/>
      <c r="E637" s="16">
        <f>+'[1]MEASUREMENT BREAK-UP'!DF637</f>
        <v>0</v>
      </c>
      <c r="F637" s="22"/>
      <c r="G637" s="25"/>
    </row>
    <row r="638" spans="1:7" ht="30.75" customHeight="1" x14ac:dyDescent="0.25">
      <c r="A638" s="39"/>
      <c r="B638" s="40" t="s">
        <v>418</v>
      </c>
      <c r="C638" s="39"/>
      <c r="D638" s="40"/>
      <c r="E638" s="41">
        <f>+'[1]MEASUREMENT BREAK-UP'!DF638</f>
        <v>0</v>
      </c>
      <c r="F638" s="42"/>
      <c r="G638" s="43">
        <f>SUM(G628:G637)</f>
        <v>0</v>
      </c>
    </row>
    <row r="639" spans="1:7" x14ac:dyDescent="0.25">
      <c r="A639" s="99"/>
      <c r="B639" s="100"/>
      <c r="C639" s="101"/>
      <c r="D639" s="99"/>
      <c r="E639" s="16">
        <f>+'[1]MEASUREMENT BREAK-UP'!DF639</f>
        <v>0</v>
      </c>
      <c r="F639" s="22"/>
      <c r="G639" s="24"/>
    </row>
    <row r="640" spans="1:7" ht="16.5" customHeight="1" x14ac:dyDescent="0.25">
      <c r="A640" s="39" t="s">
        <v>419</v>
      </c>
      <c r="B640" s="40" t="s">
        <v>420</v>
      </c>
      <c r="C640" s="91"/>
      <c r="D640" s="22"/>
      <c r="E640" s="16">
        <f>+'[1]MEASUREMENT BREAK-UP'!DF640</f>
        <v>0</v>
      </c>
      <c r="F640" s="22"/>
      <c r="G640" s="85"/>
    </row>
    <row r="641" spans="1:7" ht="243" customHeight="1" x14ac:dyDescent="0.25">
      <c r="A641" s="34">
        <f>IF(C641="","",COUNTA($C$641:C641))</f>
        <v>1</v>
      </c>
      <c r="B641" s="31" t="s">
        <v>421</v>
      </c>
      <c r="C641" s="34">
        <v>1</v>
      </c>
      <c r="D641" s="67" t="s">
        <v>11</v>
      </c>
      <c r="E641" s="16">
        <f>+'[1]MEASUREMENT BREAK-UP'!DF641</f>
        <v>0</v>
      </c>
      <c r="F641" s="22"/>
      <c r="G641" s="35">
        <f t="shared" ref="G641" si="15">IFERROR(E641*F641,0)</f>
        <v>0</v>
      </c>
    </row>
    <row r="642" spans="1:7" x14ac:dyDescent="0.25">
      <c r="A642" s="83"/>
      <c r="B642" s="84"/>
      <c r="C642" s="24"/>
      <c r="D642" s="22"/>
      <c r="E642" s="16">
        <f>+'[1]MEASUREMENT BREAK-UP'!DF642</f>
        <v>0</v>
      </c>
      <c r="F642" s="22"/>
      <c r="G642" s="24"/>
    </row>
    <row r="643" spans="1:7" s="12" customFormat="1" ht="18" customHeight="1" x14ac:dyDescent="0.25">
      <c r="A643" s="39" t="s">
        <v>422</v>
      </c>
      <c r="B643" s="40" t="s">
        <v>423</v>
      </c>
      <c r="C643" s="102"/>
      <c r="D643" s="22"/>
      <c r="E643" s="16">
        <f>+'[1]MEASUREMENT BREAK-UP'!DF643</f>
        <v>0</v>
      </c>
      <c r="F643" s="22"/>
      <c r="G643" s="103"/>
    </row>
    <row r="644" spans="1:7" x14ac:dyDescent="0.25">
      <c r="A644" s="99"/>
      <c r="B644" s="100" t="s">
        <v>424</v>
      </c>
      <c r="C644" s="101"/>
      <c r="D644" s="67"/>
      <c r="E644" s="16">
        <f>+'[1]MEASUREMENT BREAK-UP'!DF644</f>
        <v>0</v>
      </c>
      <c r="F644" s="22"/>
      <c r="G644" s="24"/>
    </row>
    <row r="645" spans="1:7" ht="76.5" x14ac:dyDescent="0.25">
      <c r="A645" s="34">
        <f>IF(C645="","",COUNTA($C$643:C645))</f>
        <v>1</v>
      </c>
      <c r="B645" s="31" t="s">
        <v>425</v>
      </c>
      <c r="C645" s="34">
        <v>1</v>
      </c>
      <c r="D645" s="67"/>
      <c r="E645" s="16">
        <f>+'[1]MEASUREMENT BREAK-UP'!DF645</f>
        <v>0</v>
      </c>
      <c r="F645" s="22"/>
      <c r="G645" s="25"/>
    </row>
    <row r="646" spans="1:7" x14ac:dyDescent="0.25">
      <c r="A646" s="34" t="str">
        <f>IF(C646="","",COUNTA($C$643:C646))</f>
        <v/>
      </c>
      <c r="B646" s="31" t="s">
        <v>426</v>
      </c>
      <c r="C646" s="34"/>
      <c r="D646" s="67"/>
      <c r="E646" s="16">
        <f>+'[1]MEASUREMENT BREAK-UP'!DF646</f>
        <v>0</v>
      </c>
      <c r="F646" s="22"/>
      <c r="G646" s="25"/>
    </row>
    <row r="647" spans="1:7" x14ac:dyDescent="0.25">
      <c r="A647" s="34" t="str">
        <f>IF(C647="","",COUNTA($C$643:C647))</f>
        <v/>
      </c>
      <c r="B647" s="31" t="s">
        <v>427</v>
      </c>
      <c r="C647" s="34"/>
      <c r="D647" s="67"/>
      <c r="E647" s="16">
        <f>+'[1]MEASUREMENT BREAK-UP'!DF647</f>
        <v>0</v>
      </c>
      <c r="F647" s="22"/>
      <c r="G647" s="25"/>
    </row>
    <row r="648" spans="1:7" x14ac:dyDescent="0.25">
      <c r="A648" s="34" t="str">
        <f>IF(C648="","",COUNTA($C$643:C648))</f>
        <v/>
      </c>
      <c r="B648" s="31" t="s">
        <v>428</v>
      </c>
      <c r="C648" s="34"/>
      <c r="D648" s="67"/>
      <c r="E648" s="16">
        <f>+'[1]MEASUREMENT BREAK-UP'!DF648</f>
        <v>0</v>
      </c>
      <c r="F648" s="22"/>
      <c r="G648" s="25"/>
    </row>
    <row r="649" spans="1:7" x14ac:dyDescent="0.25">
      <c r="A649" s="34" t="str">
        <f>IF(C649="","",COUNTA($C$643:C649))</f>
        <v/>
      </c>
      <c r="B649" s="31" t="s">
        <v>429</v>
      </c>
      <c r="C649" s="34"/>
      <c r="D649" s="67"/>
      <c r="E649" s="16">
        <f>+'[1]MEASUREMENT BREAK-UP'!DF649</f>
        <v>0</v>
      </c>
      <c r="F649" s="22"/>
      <c r="G649" s="25"/>
    </row>
    <row r="650" spans="1:7" x14ac:dyDescent="0.25">
      <c r="A650" s="34" t="s">
        <v>24</v>
      </c>
      <c r="B650" s="31" t="s">
        <v>430</v>
      </c>
      <c r="C650" s="34"/>
      <c r="D650" s="67" t="s">
        <v>315</v>
      </c>
      <c r="E650" s="16">
        <f>+'[1]MEASUREMENT BREAK-UP'!DF650</f>
        <v>0</v>
      </c>
      <c r="F650" s="22"/>
      <c r="G650" s="35">
        <f t="shared" ref="G650:G684" si="16">IFERROR(E650*F650,0)</f>
        <v>0</v>
      </c>
    </row>
    <row r="651" spans="1:7" x14ac:dyDescent="0.25">
      <c r="A651" s="34" t="s">
        <v>26</v>
      </c>
      <c r="B651" s="31" t="s">
        <v>431</v>
      </c>
      <c r="C651" s="34"/>
      <c r="D651" s="67" t="s">
        <v>315</v>
      </c>
      <c r="E651" s="16">
        <f>+'[1]MEASUREMENT BREAK-UP'!DF651</f>
        <v>0</v>
      </c>
      <c r="F651" s="22"/>
      <c r="G651" s="35">
        <f t="shared" si="16"/>
        <v>0</v>
      </c>
    </row>
    <row r="652" spans="1:7" x14ac:dyDescent="0.25">
      <c r="A652" s="34" t="str">
        <f>IF(C652="","",COUNTA($C$643:C652))</f>
        <v/>
      </c>
      <c r="B652" s="31"/>
      <c r="C652" s="34"/>
      <c r="D652" s="67"/>
      <c r="E652" s="16">
        <f>+'[1]MEASUREMENT BREAK-UP'!DF652</f>
        <v>0</v>
      </c>
      <c r="F652" s="22"/>
      <c r="G652" s="35">
        <f t="shared" si="16"/>
        <v>0</v>
      </c>
    </row>
    <row r="653" spans="1:7" ht="87" customHeight="1" x14ac:dyDescent="0.25">
      <c r="A653" s="34">
        <f>IF(C653="","",COUNTA($C$643:C653))</f>
        <v>2</v>
      </c>
      <c r="B653" s="31" t="s">
        <v>432</v>
      </c>
      <c r="C653" s="34">
        <v>1</v>
      </c>
      <c r="D653" s="67"/>
      <c r="E653" s="16">
        <f>+'[1]MEASUREMENT BREAK-UP'!DF653</f>
        <v>0</v>
      </c>
      <c r="F653" s="22"/>
      <c r="G653" s="35">
        <f t="shared" si="16"/>
        <v>0</v>
      </c>
    </row>
    <row r="654" spans="1:7" x14ac:dyDescent="0.25">
      <c r="A654" s="34" t="str">
        <f>IF(C654="","",COUNTA($C$643:C654))</f>
        <v/>
      </c>
      <c r="B654" s="31" t="s">
        <v>433</v>
      </c>
      <c r="C654" s="34"/>
      <c r="D654" s="67"/>
      <c r="E654" s="16">
        <f>+'[1]MEASUREMENT BREAK-UP'!DF654</f>
        <v>0</v>
      </c>
      <c r="F654" s="22"/>
      <c r="G654" s="35">
        <f t="shared" si="16"/>
        <v>0</v>
      </c>
    </row>
    <row r="655" spans="1:7" x14ac:dyDescent="0.25">
      <c r="A655" s="34" t="str">
        <f>IF(C655="","",COUNTA($C$643:C655))</f>
        <v/>
      </c>
      <c r="B655" s="31" t="s">
        <v>434</v>
      </c>
      <c r="C655" s="34"/>
      <c r="D655" s="67"/>
      <c r="E655" s="16">
        <f>+'[1]MEASUREMENT BREAK-UP'!DF655</f>
        <v>0</v>
      </c>
      <c r="F655" s="22"/>
      <c r="G655" s="35">
        <f t="shared" si="16"/>
        <v>0</v>
      </c>
    </row>
    <row r="656" spans="1:7" x14ac:dyDescent="0.25">
      <c r="A656" s="34" t="str">
        <f>IF(C656="","",COUNTA($C$643:C656))</f>
        <v/>
      </c>
      <c r="B656" s="31" t="s">
        <v>435</v>
      </c>
      <c r="C656" s="34"/>
      <c r="D656" s="67"/>
      <c r="E656" s="16">
        <f>+'[1]MEASUREMENT BREAK-UP'!DF656</f>
        <v>0</v>
      </c>
      <c r="F656" s="22"/>
      <c r="G656" s="35">
        <f t="shared" si="16"/>
        <v>0</v>
      </c>
    </row>
    <row r="657" spans="1:7" x14ac:dyDescent="0.25">
      <c r="A657" s="34" t="str">
        <f>IF(C657="","",COUNTA($C$643:C657))</f>
        <v/>
      </c>
      <c r="B657" s="31" t="s">
        <v>436</v>
      </c>
      <c r="C657" s="34"/>
      <c r="D657" s="67"/>
      <c r="E657" s="16">
        <f>+'[1]MEASUREMENT BREAK-UP'!DF657</f>
        <v>0</v>
      </c>
      <c r="F657" s="22"/>
      <c r="G657" s="35">
        <f t="shared" si="16"/>
        <v>0</v>
      </c>
    </row>
    <row r="658" spans="1:7" x14ac:dyDescent="0.25">
      <c r="A658" s="34" t="s">
        <v>24</v>
      </c>
      <c r="B658" s="31" t="s">
        <v>430</v>
      </c>
      <c r="C658" s="34"/>
      <c r="D658" s="67" t="s">
        <v>315</v>
      </c>
      <c r="E658" s="16">
        <f>+'[1]MEASUREMENT BREAK-UP'!DF658</f>
        <v>0</v>
      </c>
      <c r="F658" s="22"/>
      <c r="G658" s="35">
        <f t="shared" si="16"/>
        <v>0</v>
      </c>
    </row>
    <row r="659" spans="1:7" x14ac:dyDescent="0.25">
      <c r="A659" s="34" t="s">
        <v>26</v>
      </c>
      <c r="B659" s="31" t="s">
        <v>437</v>
      </c>
      <c r="C659" s="34"/>
      <c r="D659" s="67" t="s">
        <v>315</v>
      </c>
      <c r="E659" s="16">
        <f>+'[1]MEASUREMENT BREAK-UP'!DF659</f>
        <v>0</v>
      </c>
      <c r="F659" s="22"/>
      <c r="G659" s="35">
        <f t="shared" si="16"/>
        <v>0</v>
      </c>
    </row>
    <row r="660" spans="1:7" x14ac:dyDescent="0.25">
      <c r="A660" s="34" t="str">
        <f>IF(C660="","",COUNTA($C$643:C660))</f>
        <v/>
      </c>
      <c r="B660" s="31"/>
      <c r="C660" s="34"/>
      <c r="D660" s="67"/>
      <c r="E660" s="16">
        <f>+'[1]MEASUREMENT BREAK-UP'!DF660</f>
        <v>0</v>
      </c>
      <c r="F660" s="22"/>
      <c r="G660" s="35">
        <f t="shared" si="16"/>
        <v>0</v>
      </c>
    </row>
    <row r="661" spans="1:7" ht="51" x14ac:dyDescent="0.25">
      <c r="A661" s="34">
        <f>IF(C661="","",COUNTA($C$643:C661))</f>
        <v>3</v>
      </c>
      <c r="B661" s="31" t="s">
        <v>438</v>
      </c>
      <c r="C661" s="34">
        <v>1</v>
      </c>
      <c r="D661" s="67"/>
      <c r="E661" s="16">
        <f>+'[1]MEASUREMENT BREAK-UP'!DF661</f>
        <v>0</v>
      </c>
      <c r="F661" s="22"/>
      <c r="G661" s="35">
        <f t="shared" si="16"/>
        <v>0</v>
      </c>
    </row>
    <row r="662" spans="1:7" x14ac:dyDescent="0.25">
      <c r="A662" s="34" t="s">
        <v>24</v>
      </c>
      <c r="B662" s="31" t="s">
        <v>430</v>
      </c>
      <c r="C662" s="34"/>
      <c r="D662" s="67" t="s">
        <v>315</v>
      </c>
      <c r="E662" s="16">
        <f>+'[1]MEASUREMENT BREAK-UP'!DF662</f>
        <v>0</v>
      </c>
      <c r="F662" s="22"/>
      <c r="G662" s="35">
        <f t="shared" si="16"/>
        <v>0</v>
      </c>
    </row>
    <row r="663" spans="1:7" x14ac:dyDescent="0.25">
      <c r="A663" s="34" t="s">
        <v>26</v>
      </c>
      <c r="B663" s="31" t="s">
        <v>437</v>
      </c>
      <c r="C663" s="34"/>
      <c r="D663" s="67" t="s">
        <v>315</v>
      </c>
      <c r="E663" s="16">
        <f>+'[1]MEASUREMENT BREAK-UP'!DF663</f>
        <v>0</v>
      </c>
      <c r="F663" s="22"/>
      <c r="G663" s="35">
        <f t="shared" si="16"/>
        <v>0</v>
      </c>
    </row>
    <row r="664" spans="1:7" x14ac:dyDescent="0.25">
      <c r="A664" s="34" t="str">
        <f>IF(C664="","",COUNTA($C$643:C664))</f>
        <v/>
      </c>
      <c r="B664" s="31"/>
      <c r="C664" s="34"/>
      <c r="D664" s="67"/>
      <c r="E664" s="16">
        <f>+'[1]MEASUREMENT BREAK-UP'!DF664</f>
        <v>0</v>
      </c>
      <c r="F664" s="22"/>
      <c r="G664" s="35">
        <f t="shared" si="16"/>
        <v>0</v>
      </c>
    </row>
    <row r="665" spans="1:7" ht="93.75" customHeight="1" x14ac:dyDescent="0.25">
      <c r="A665" s="34">
        <f>IF(C665="","",COUNTA($C$643:C665))</f>
        <v>4</v>
      </c>
      <c r="B665" s="31" t="s">
        <v>439</v>
      </c>
      <c r="C665" s="34">
        <v>1</v>
      </c>
      <c r="D665" s="67"/>
      <c r="E665" s="16">
        <f>+'[1]MEASUREMENT BREAK-UP'!DF665</f>
        <v>0</v>
      </c>
      <c r="F665" s="22"/>
      <c r="G665" s="35">
        <f t="shared" si="16"/>
        <v>0</v>
      </c>
    </row>
    <row r="666" spans="1:7" x14ac:dyDescent="0.25">
      <c r="A666" s="34" t="str">
        <f>IF(C666="","",COUNTA($C$643:C666))</f>
        <v/>
      </c>
      <c r="B666" s="31" t="s">
        <v>440</v>
      </c>
      <c r="C666" s="34"/>
      <c r="D666" s="67"/>
      <c r="E666" s="16">
        <f>+'[1]MEASUREMENT BREAK-UP'!DF666</f>
        <v>0</v>
      </c>
      <c r="F666" s="22"/>
      <c r="G666" s="35">
        <f t="shared" si="16"/>
        <v>0</v>
      </c>
    </row>
    <row r="667" spans="1:7" x14ac:dyDescent="0.25">
      <c r="A667" s="34" t="str">
        <f>IF(C667="","",COUNTA($C$643:C667))</f>
        <v/>
      </c>
      <c r="B667" s="31" t="s">
        <v>441</v>
      </c>
      <c r="C667" s="34"/>
      <c r="D667" s="67"/>
      <c r="E667" s="16">
        <f>+'[1]MEASUREMENT BREAK-UP'!DF667</f>
        <v>0</v>
      </c>
      <c r="F667" s="22"/>
      <c r="G667" s="35">
        <f t="shared" si="16"/>
        <v>0</v>
      </c>
    </row>
    <row r="668" spans="1:7" x14ac:dyDescent="0.25">
      <c r="A668" s="34" t="str">
        <f>IF(C668="","",COUNTA($C$643:C668))</f>
        <v/>
      </c>
      <c r="B668" s="31" t="s">
        <v>442</v>
      </c>
      <c r="C668" s="34"/>
      <c r="D668" s="67"/>
      <c r="E668" s="16">
        <f>+'[1]MEASUREMENT BREAK-UP'!DF668</f>
        <v>0</v>
      </c>
      <c r="F668" s="22"/>
      <c r="G668" s="35">
        <f t="shared" si="16"/>
        <v>0</v>
      </c>
    </row>
    <row r="669" spans="1:7" x14ac:dyDescent="0.25">
      <c r="A669" s="34" t="str">
        <f>IF(C669="","",COUNTA($C$643:C669))</f>
        <v/>
      </c>
      <c r="B669" s="31" t="s">
        <v>443</v>
      </c>
      <c r="C669" s="34"/>
      <c r="D669" s="67"/>
      <c r="E669" s="16">
        <f>+'[1]MEASUREMENT BREAK-UP'!DF669</f>
        <v>0</v>
      </c>
      <c r="F669" s="22"/>
      <c r="G669" s="35">
        <f t="shared" si="16"/>
        <v>0</v>
      </c>
    </row>
    <row r="670" spans="1:7" x14ac:dyDescent="0.25">
      <c r="A670" s="34" t="str">
        <f>IF(C670="","",COUNTA($C$643:C670))</f>
        <v/>
      </c>
      <c r="B670" s="31" t="s">
        <v>444</v>
      </c>
      <c r="C670" s="34"/>
      <c r="D670" s="67"/>
      <c r="E670" s="16">
        <f>+'[1]MEASUREMENT BREAK-UP'!DF670</f>
        <v>0</v>
      </c>
      <c r="F670" s="22"/>
      <c r="G670" s="35">
        <f t="shared" si="16"/>
        <v>0</v>
      </c>
    </row>
    <row r="671" spans="1:7" x14ac:dyDescent="0.25">
      <c r="A671" s="34" t="str">
        <f>IF(C671="","",COUNTA($C$643:C671))</f>
        <v/>
      </c>
      <c r="B671" s="31" t="s">
        <v>445</v>
      </c>
      <c r="C671" s="34"/>
      <c r="D671" s="67"/>
      <c r="E671" s="16">
        <f>+'[1]MEASUREMENT BREAK-UP'!DF671</f>
        <v>0</v>
      </c>
      <c r="F671" s="22"/>
      <c r="G671" s="35">
        <f t="shared" si="16"/>
        <v>0</v>
      </c>
    </row>
    <row r="672" spans="1:7" x14ac:dyDescent="0.25">
      <c r="A672" s="34" t="str">
        <f>IF(C672="","",COUNTA($C$643:C672))</f>
        <v/>
      </c>
      <c r="B672" s="31" t="s">
        <v>446</v>
      </c>
      <c r="C672" s="34"/>
      <c r="D672" s="67"/>
      <c r="E672" s="16">
        <f>+'[1]MEASUREMENT BREAK-UP'!DF672</f>
        <v>0</v>
      </c>
      <c r="F672" s="22"/>
      <c r="G672" s="35">
        <f t="shared" si="16"/>
        <v>0</v>
      </c>
    </row>
    <row r="673" spans="1:7" x14ac:dyDescent="0.25">
      <c r="A673" s="34" t="str">
        <f>IF(C673="","",COUNTA($C$643:C673))</f>
        <v/>
      </c>
      <c r="B673" s="31" t="s">
        <v>447</v>
      </c>
      <c r="C673" s="34"/>
      <c r="D673" s="67"/>
      <c r="E673" s="16">
        <f>+'[1]MEASUREMENT BREAK-UP'!DF673</f>
        <v>0</v>
      </c>
      <c r="F673" s="22"/>
      <c r="G673" s="35">
        <f t="shared" si="16"/>
        <v>0</v>
      </c>
    </row>
    <row r="674" spans="1:7" x14ac:dyDescent="0.25">
      <c r="A674" s="34" t="s">
        <v>24</v>
      </c>
      <c r="B674" s="31" t="s">
        <v>430</v>
      </c>
      <c r="C674" s="34"/>
      <c r="D674" s="67" t="s">
        <v>315</v>
      </c>
      <c r="E674" s="16">
        <f>+'[1]MEASUREMENT BREAK-UP'!DF674</f>
        <v>0</v>
      </c>
      <c r="F674" s="22"/>
      <c r="G674" s="35">
        <f t="shared" si="16"/>
        <v>0</v>
      </c>
    </row>
    <row r="675" spans="1:7" x14ac:dyDescent="0.25">
      <c r="A675" s="34" t="s">
        <v>26</v>
      </c>
      <c r="B675" s="31" t="s">
        <v>437</v>
      </c>
      <c r="C675" s="34"/>
      <c r="D675" s="67" t="s">
        <v>315</v>
      </c>
      <c r="E675" s="16">
        <f>+'[1]MEASUREMENT BREAK-UP'!DF675</f>
        <v>0</v>
      </c>
      <c r="F675" s="22"/>
      <c r="G675" s="35">
        <f t="shared" si="16"/>
        <v>0</v>
      </c>
    </row>
    <row r="676" spans="1:7" x14ac:dyDescent="0.25">
      <c r="A676" s="34" t="str">
        <f>IF(C676="","",COUNTA($C$643:C676))</f>
        <v/>
      </c>
      <c r="B676" s="31"/>
      <c r="C676" s="34"/>
      <c r="D676" s="67"/>
      <c r="E676" s="16">
        <f>+'[1]MEASUREMENT BREAK-UP'!DF676</f>
        <v>0</v>
      </c>
      <c r="F676" s="22"/>
      <c r="G676" s="35">
        <f t="shared" si="16"/>
        <v>0</v>
      </c>
    </row>
    <row r="677" spans="1:7" ht="38.25" x14ac:dyDescent="0.25">
      <c r="A677" s="34">
        <f>IF(C677="","",COUNTA($C$643:C677))</f>
        <v>5</v>
      </c>
      <c r="B677" s="31" t="s">
        <v>448</v>
      </c>
      <c r="C677" s="34">
        <v>1</v>
      </c>
      <c r="D677" s="67" t="s">
        <v>315</v>
      </c>
      <c r="E677" s="16">
        <f>+'[1]MEASUREMENT BREAK-UP'!DF677</f>
        <v>0</v>
      </c>
      <c r="F677" s="22"/>
      <c r="G677" s="35">
        <f t="shared" si="16"/>
        <v>0</v>
      </c>
    </row>
    <row r="678" spans="1:7" x14ac:dyDescent="0.25">
      <c r="A678" s="34" t="str">
        <f>IF(C678="","",COUNTA($C$643:C678))</f>
        <v/>
      </c>
      <c r="B678" s="31"/>
      <c r="C678" s="34"/>
      <c r="D678" s="67"/>
      <c r="E678" s="16">
        <f>+'[1]MEASUREMENT BREAK-UP'!DF678</f>
        <v>0</v>
      </c>
      <c r="F678" s="22"/>
      <c r="G678" s="35">
        <f t="shared" si="16"/>
        <v>0</v>
      </c>
    </row>
    <row r="679" spans="1:7" ht="68.25" customHeight="1" x14ac:dyDescent="0.25">
      <c r="A679" s="34">
        <f>IF(C679="","",COUNTA($C$643:C679))</f>
        <v>6</v>
      </c>
      <c r="B679" s="31" t="s">
        <v>449</v>
      </c>
      <c r="C679" s="34">
        <v>1</v>
      </c>
      <c r="D679" s="29" t="s">
        <v>315</v>
      </c>
      <c r="E679" s="16">
        <f>+'[1]MEASUREMENT BREAK-UP'!DF679</f>
        <v>0</v>
      </c>
      <c r="F679" s="22"/>
      <c r="G679" s="35">
        <f t="shared" si="16"/>
        <v>0</v>
      </c>
    </row>
    <row r="680" spans="1:7" x14ac:dyDescent="0.25">
      <c r="A680" s="34"/>
      <c r="B680" s="31"/>
      <c r="C680" s="34"/>
      <c r="D680" s="67"/>
      <c r="E680" s="16">
        <f>+'[1]MEASUREMENT BREAK-UP'!DF680</f>
        <v>0</v>
      </c>
      <c r="F680" s="22"/>
      <c r="G680" s="35">
        <f t="shared" si="16"/>
        <v>0</v>
      </c>
    </row>
    <row r="681" spans="1:7" ht="75.75" customHeight="1" x14ac:dyDescent="0.25">
      <c r="A681" s="34">
        <f>IF(C681="","",COUNTA($C$643:C681))</f>
        <v>7</v>
      </c>
      <c r="B681" s="31" t="s">
        <v>450</v>
      </c>
      <c r="C681" s="34">
        <v>1</v>
      </c>
      <c r="D681" s="67" t="s">
        <v>315</v>
      </c>
      <c r="E681" s="16">
        <f>+'[1]MEASUREMENT BREAK-UP'!DF681</f>
        <v>0</v>
      </c>
      <c r="F681" s="22"/>
      <c r="G681" s="35">
        <f t="shared" si="16"/>
        <v>0</v>
      </c>
    </row>
    <row r="682" spans="1:7" x14ac:dyDescent="0.25">
      <c r="A682" s="34"/>
      <c r="B682" s="31"/>
      <c r="C682" s="34"/>
      <c r="D682" s="67"/>
      <c r="E682" s="16">
        <f>+'[1]MEASUREMENT BREAK-UP'!DF682</f>
        <v>0</v>
      </c>
      <c r="F682" s="22"/>
      <c r="G682" s="35">
        <f t="shared" si="16"/>
        <v>0</v>
      </c>
    </row>
    <row r="683" spans="1:7" ht="136.5" customHeight="1" x14ac:dyDescent="0.25">
      <c r="A683" s="34">
        <f>IF(C683="","",COUNTA($C$643:C683))</f>
        <v>8</v>
      </c>
      <c r="B683" s="31" t="s">
        <v>451</v>
      </c>
      <c r="C683" s="34">
        <v>1</v>
      </c>
      <c r="D683" s="67" t="s">
        <v>315</v>
      </c>
      <c r="E683" s="16"/>
      <c r="F683" s="22"/>
      <c r="G683" s="35">
        <f t="shared" si="16"/>
        <v>0</v>
      </c>
    </row>
    <row r="684" spans="1:7" x14ac:dyDescent="0.25">
      <c r="A684" s="67"/>
      <c r="B684" s="31"/>
      <c r="C684" s="104"/>
      <c r="D684" s="29"/>
      <c r="E684" s="16">
        <f>+'[1]MEASUREMENT BREAK-UP'!DF684</f>
        <v>0</v>
      </c>
      <c r="F684" s="22"/>
      <c r="G684" s="35">
        <f t="shared" si="16"/>
        <v>0</v>
      </c>
    </row>
    <row r="685" spans="1:7" ht="30" x14ac:dyDescent="0.25">
      <c r="A685" s="39"/>
      <c r="B685" s="40" t="s">
        <v>452</v>
      </c>
      <c r="C685" s="39"/>
      <c r="D685" s="40"/>
      <c r="E685" s="39">
        <f>+'[1]MEASUREMENT BREAK-UP'!DF685</f>
        <v>0</v>
      </c>
      <c r="F685" s="40"/>
      <c r="G685" s="43">
        <f>SUM(G650:G684)</f>
        <v>0</v>
      </c>
    </row>
    <row r="686" spans="1:7" x14ac:dyDescent="0.25">
      <c r="A686" s="67"/>
      <c r="B686" s="105"/>
      <c r="C686" s="106"/>
      <c r="D686" s="67"/>
      <c r="E686" s="16">
        <f>+'[1]MEASUREMENT BREAK-UP'!DF686</f>
        <v>0</v>
      </c>
      <c r="F686" s="24"/>
      <c r="G686" s="35"/>
    </row>
    <row r="687" spans="1:7" s="12" customFormat="1" ht="23.25" customHeight="1" x14ac:dyDescent="0.25">
      <c r="A687" s="41"/>
      <c r="B687" s="42" t="s">
        <v>453</v>
      </c>
      <c r="C687" s="41"/>
      <c r="D687" s="42"/>
      <c r="E687" s="41"/>
      <c r="F687" s="42"/>
      <c r="G687" s="43">
        <f>G87+G271+G472+G558+G611+G621+G638+G641+G685</f>
        <v>0</v>
      </c>
    </row>
    <row r="689" spans="5:8" x14ac:dyDescent="0.25">
      <c r="E689" s="108">
        <f>SUM(E16:E688)</f>
        <v>60759</v>
      </c>
    </row>
    <row r="690" spans="5:8" x14ac:dyDescent="0.25">
      <c r="H690" s="5">
        <v>59352</v>
      </c>
    </row>
    <row r="691" spans="5:8" x14ac:dyDescent="0.25">
      <c r="H691" s="5">
        <v>54662</v>
      </c>
    </row>
    <row r="692" spans="5:8" x14ac:dyDescent="0.25">
      <c r="H692" s="5">
        <f>H690-H691</f>
        <v>4690</v>
      </c>
    </row>
    <row r="694" spans="5:8" ht="21.75" customHeight="1" x14ac:dyDescent="0.25"/>
  </sheetData>
  <protectedRanges>
    <protectedRange sqref="F589:F603 F231:F235 F548:F554 F557:F585 F274:F471 F266:F272 F474:F543" name="Range1"/>
    <protectedRange sqref="F87" name="Range1_1"/>
  </protectedRanges>
  <mergeCells count="3">
    <mergeCell ref="A2:D2"/>
    <mergeCell ref="A6:D6"/>
    <mergeCell ref="A7: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2025-11-04T11:02:54Z</dcterms:modified>
</cp:coreProperties>
</file>